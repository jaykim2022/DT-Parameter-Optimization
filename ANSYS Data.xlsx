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3"/>
  <workbookPr/>
  <mc:AlternateContent xmlns:mc="http://schemas.openxmlformats.org/markup-compatibility/2006">
    <mc:Choice Requires="x15">
      <x15ac:absPath xmlns:x15ac="http://schemas.microsoft.com/office/spreadsheetml/2010/11/ac" url="/Users/jaykim/Desktop/"/>
    </mc:Choice>
  </mc:AlternateContent>
  <xr:revisionPtr revIDLastSave="0" documentId="13_ncr:1_{A3074A43-BB8A-8E41-A38A-720C280F5A96}" xr6:coauthVersionLast="47" xr6:coauthVersionMax="47" xr10:uidLastSave="{00000000-0000-0000-0000-000000000000}"/>
  <bookViews>
    <workbookView xWindow="0" yWindow="500" windowWidth="28800" windowHeight="16000" activeTab="1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5" i="1" l="1"/>
  <c r="Y4" i="1"/>
  <c r="X6" i="1"/>
  <c r="X5" i="1"/>
  <c r="X4" i="1"/>
  <c r="W6" i="1"/>
  <c r="W5" i="1"/>
  <c r="W4" i="1"/>
  <c r="T4" i="1"/>
  <c r="T5" i="1"/>
  <c r="T6" i="1"/>
  <c r="T7" i="1"/>
  <c r="T8" i="1"/>
  <c r="T9" i="1"/>
  <c r="T10" i="1"/>
  <c r="T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tc={7522AD45-6B56-47D9-B6A8-1E15329FD40E}</author>
    <author>tc={2AB65BDC-3CDB-42B8-B999-4C8199E3ABC1}</author>
    <author>tc={EA92B2B9-96FC-46F8-B2FA-E69978A24C29}</author>
    <author>tc={167DD8F5-921D-45C2-B57F-2B868A1DFB45}</author>
    <author>tc={6F0ED70F-3A7E-4672-8EF0-143A91737B88}</author>
    <author>tc={130EF49F-CE2F-4EC7-AEF6-4F4C8EF3480D}</author>
    <author>tc={063D0B2B-AF4F-42E1-9CE6-EDB54931DC18}</author>
    <author>tc={2FF1865B-7B45-48F5-A1D3-1EBF497A6902}</author>
    <author>tc={58A90C29-880C-5D41-97CB-07B48193A766}</author>
    <author>tc={FBBFFF39-45D8-5040-A4A1-FBA5272DE07F}</author>
    <author>tc={5DAB6213-6701-BF40-BBE3-F37294C92BBD}</author>
    <author>tc={9EC3938C-49F2-EA46-A691-F2FF778B421D}</author>
    <author>tc={1FC6858E-30A3-3448-89BE-30C1BDC94D1D}</author>
    <author>tc={072C1093-5D9E-FD4F-83F3-BFA15C7D959E}</author>
    <author>tc={C4ED95F8-1076-7F4C-80AB-4183BD4EB52F}</author>
    <author>tc={41DD3638-AF54-C943-92F4-758E9E2D3207}</author>
  </authors>
  <commentList>
    <comment ref="Q2" authorId="0" shapeId="0" xr:uid="{7522AD45-6B56-47D9-B6A8-1E15329FD40E}">
      <text>
        <t>[Threaded comment]
Your version of Excel allows you to read this threaded comment; however, any edits to it will get removed if the file is opened in a newer version of Excel. Learn more: https://go.microsoft.com/fwlink/?linkid=870924
Comment:
    Max after full displacement</t>
      </text>
    </comment>
    <comment ref="S2" authorId="1" shapeId="0" xr:uid="{2AB65BDC-3CDB-42B8-B999-4C8199E3ABC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Probed at upper node closest to displacement.</t>
      </text>
    </comment>
    <comment ref="R3" authorId="2" shapeId="0" xr:uid="{EA92B2B9-96FC-46F8-B2FA-E69978A24C29}">
      <text>
        <t>[Threaded comment]
Your version of Excel allows you to read this threaded comment; however, any edits to it will get removed if the file is opened in a newer version of Excel. Learn more: https://go.microsoft.com/fwlink/?linkid=870924
Comment:
    Node not in midline plane (maximum deformation along major axis)</t>
      </text>
    </comment>
    <comment ref="Q5" authorId="3" shapeId="0" xr:uid="{167DD8F5-921D-45C2-B57F-2B868A1DFB45}">
      <text>
        <t>[Threaded comment]
Your version of Excel allows you to read this threaded comment; however, any edits to it will get removed if the file is opened in a newer version of Excel. Learn more: https://go.microsoft.com/fwlink/?linkid=870924
Comment:
    Double check if global or cylindrical coordinates</t>
      </text>
    </comment>
    <comment ref="P7" authorId="4" shapeId="0" xr:uid="{6F0ED70F-3A7E-4672-8EF0-143A91737B88}">
      <text>
        <t>[Threaded comment]
Your version of Excel allows you to read this threaded comment; however, any edits to it will get removed if the file is opened in a newer version of Excel. Learn more: https://go.microsoft.com/fwlink/?linkid=870924
Comment:
    Did run to completion (roughly 75%); I think the structure is too macroscopically rigid to go any further</t>
      </text>
    </comment>
    <comment ref="H10" authorId="5" shapeId="0" xr:uid="{130EF49F-CE2F-4EC7-AEF6-4F4C8EF3480D}">
      <text>
        <t>[Threaded comment]
Your version of Excel allows you to read this threaded comment; however, any edits to it will get removed if the file is opened in a newer version of Excel. Learn more: https://go.microsoft.com/fwlink/?linkid=870924
Comment:
    max thickness for this matrix density</t>
      </text>
    </comment>
    <comment ref="N10" authorId="6" shapeId="0" xr:uid="{063D0B2B-AF4F-42E1-9CE6-EDB54931DC18}">
      <text>
        <t>[Threaded comment]
Your version of Excel allows you to read this threaded comment; however, any edits to it will get removed if the file is opened in a newer version of Excel. Learn more: https://go.microsoft.com/fwlink/?linkid=870924
Comment:
    Mesh throwing errors at 0.5 (seemingly bc of surface details—need to check the CAD?); faces not aligned</t>
      </text>
    </comment>
    <comment ref="P10" authorId="7" shapeId="0" xr:uid="{2FF1865B-7B45-48F5-A1D3-1EBF497A6902}">
      <text>
        <t>[Threaded comment]
Your version of Excel allows you to read this threaded comment; however, any edits to it will get removed if the file is opened in a newer version of Excel. Learn more: https://go.microsoft.com/fwlink/?linkid=870924
Comment:
    Did run to completion (roughly 75%); I think the structure is too macroscopically rigid to go any further</t>
      </text>
    </comment>
    <comment ref="S11" authorId="8" shapeId="0" xr:uid="{58A90C29-880C-5D41-97CB-07B48193A766}">
      <text>
        <t>[Threaded comment]
Your version of Excel allows you to read this threaded comment; however, any edits to it will get removed if the file is opened in a newer version of Excel. Learn more: https://go.microsoft.com/fwlink/?linkid=870924
Comment:
    Make sure these are occuring at the vertices in the same XZ plane as the nodal displacement</t>
      </text>
    </comment>
    <comment ref="C19" authorId="9" shapeId="0" xr:uid="{FBBFFF39-45D8-5040-A4A1-FBA5272DE07F}">
      <text>
        <t>[Threaded comment]
Your version of Excel allows you to read this threaded comment; however, any edits to it will get removed if the file is opened in a newer version of Excel. Learn more: https://go.microsoft.com/fwlink/?linkid=870924
Comment:
    v7 on lab 3 is actually a duplicate of v6; v8 should be v7 and I need to download v8 from onshape (update: all cad files are correct, ignore 251202 v8 and use 251215 v8 instead)</t>
      </text>
    </comment>
    <comment ref="H19" authorId="10" shapeId="0" xr:uid="{5DAB6213-6701-BF40-BBE3-F37294C92BBD}">
      <text>
        <t>[Threaded comment]
Your version of Excel allows you to read this threaded comment; however, any edits to it will get removed if the file is opened in a newer version of Excel. Learn more: https://go.microsoft.com/fwlink/?linkid=870924
Comment:
    max thickness for this matrix density</t>
      </text>
    </comment>
    <comment ref="N19" authorId="11" shapeId="0" xr:uid="{9EC3938C-49F2-EA46-A691-F2FF778B421D}">
      <text>
        <t>[Threaded comment]
Your version of Excel allows you to read this threaded comment; however, any edits to it will get removed if the file is opened in a newer version of Excel. Learn more: https://go.microsoft.com/fwlink/?linkid=870924
Comment:
    Mesh throwing errors at 0.5 (seemingly bc of surface details—need to check the CAD?); faces not aligned</t>
      </text>
    </comment>
    <comment ref="D21" authorId="12" shapeId="0" xr:uid="{1FC6858E-30A3-3448-89BE-30C1BDC94D1D}">
      <text>
        <t>[Threaded comment]
Your version of Excel allows you to read this threaded comment; however, any edits to it will get removed if the file is opened in a newer version of Excel. Learn more: https://go.microsoft.com/fwlink/?linkid=870924
Comment:
    Delete if not needed: Vara had 12 20 20 35 loaded</t>
      </text>
    </comment>
    <comment ref="A40" authorId="13" shapeId="0" xr:uid="{072C1093-5D9E-FD4F-83F3-BFA15C7D959E}">
      <text>
        <t>[Threaded comment]
Your version of Excel allows you to read this threaded comment; however, any edits to it will get removed if the file is opened in a newer version of Excel. Learn more: https://go.microsoft.com/fwlink/?linkid=870924
Comment:
    atp the dates r js serial numbers (ie dont trust the date)</t>
      </text>
    </comment>
    <comment ref="T52" authorId="14" shapeId="0" xr:uid="{C4ED95F8-1076-7F4C-80AB-4183BD4EB52F}">
      <text>
        <t>[Threaded comment]
Your version of Excel allows you to read this threaded comment; however, any edits to it will get removed if the file is opened in a newer version of Excel. Learn more: https://go.microsoft.com/fwlink/?linkid=870924
Comment:
    Max and min do not occur on a vertex exactly in the XZ plane of the displacement (closest neighbor instead)</t>
      </text>
    </comment>
    <comment ref="T54" authorId="15" shapeId="0" xr:uid="{41DD3638-AF54-C943-92F4-758E9E2D3207}">
      <text>
        <t>[Threaded comment]
Your version of Excel allows you to read this threaded comment; however, any edits to it will get removed if the file is opened in a newer version of Excel. Learn more: https://go.microsoft.com/fwlink/?linkid=870924
Comment:
    ditto as v3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tc={3FA0892B-5B74-794B-93EE-EBE8878DFF5E}</author>
    <author>tc={09BDF13B-A88A-EE4A-A992-1F37AA049A92}</author>
    <author>tc={BC6498FB-B949-B144-B392-6F86819F554F}</author>
    <author>tc={523FD425-00DF-5B43-8892-28ABB8F78C80}</author>
  </authors>
  <commentList>
    <comment ref="Q1" authorId="0" shapeId="0" xr:uid="{3FA0892B-5B74-794B-93EE-EBE8878DFF5E}">
      <text>
        <t>[Threaded comment]
Your version of Excel allows you to read this threaded comment; however, any edits to it will get removed if the file is opened in a newer version of Excel. Learn more: https://go.microsoft.com/fwlink/?linkid=870924
Comment:
    Max after full displacement</t>
      </text>
    </comment>
    <comment ref="S1" authorId="1" shapeId="0" xr:uid="{09BDF13B-A88A-EE4A-A992-1F37AA049A9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Probed at upper node closest to displacement.</t>
      </text>
    </comment>
    <comment ref="T4" authorId="2" shapeId="0" xr:uid="{BC6498FB-B949-B144-B392-6F86819F554F}">
      <text>
        <t>[Threaded comment]
Your version of Excel allows you to read this threaded comment; however, any edits to it will get removed if the file is opened in a newer version of Excel. Learn more: https://go.microsoft.com/fwlink/?linkid=870924
Comment:
    Max and min do not occur on a vertex exactly in the XZ plane of the displacement (closest neighbor instead)</t>
      </text>
    </comment>
    <comment ref="T6" authorId="3" shapeId="0" xr:uid="{523FD425-00DF-5B43-8892-28ABB8F78C80}">
      <text>
        <t>[Threaded comment]
Your version of Excel allows you to read this threaded comment; however, any edits to it will get removed if the file is opened in a newer version of Excel. Learn more: https://go.microsoft.com/fwlink/?linkid=870924
Comment:
    ditto as v3</t>
      </text>
    </comment>
  </commentList>
</comments>
</file>

<file path=xl/sharedStrings.xml><?xml version="1.0" encoding="utf-8"?>
<sst xmlns="http://schemas.openxmlformats.org/spreadsheetml/2006/main" count="161" uniqueCount="82">
  <si>
    <t>CAD Parameters</t>
  </si>
  <si>
    <t>ANSYS Parameters</t>
  </si>
  <si>
    <t>Results</t>
  </si>
  <si>
    <t>Date</t>
  </si>
  <si>
    <t>Name</t>
  </si>
  <si>
    <t>CAD File Name (Lab 3, leave blank if personal)</t>
  </si>
  <si>
    <t>Height</t>
  </si>
  <si>
    <t>Waist_D</t>
  </si>
  <si>
    <t>Top_D</t>
  </si>
  <si>
    <t>Bottom_D</t>
  </si>
  <si>
    <t>Wire</t>
  </si>
  <si>
    <t>CellD_V</t>
  </si>
  <si>
    <t>CellD_H</t>
  </si>
  <si>
    <t>Height_adj</t>
  </si>
  <si>
    <t>V_planespace</t>
  </si>
  <si>
    <t>Angle_adjustment</t>
  </si>
  <si>
    <t>Mesh Element Size</t>
  </si>
  <si>
    <t>Displacement</t>
  </si>
  <si>
    <t>Analysis Type</t>
  </si>
  <si>
    <t>Reaction force (N)</t>
  </si>
  <si>
    <t>y deformation (mm)</t>
  </si>
  <si>
    <t>z deformation (mm)</t>
  </si>
  <si>
    <t>Relative Flexibility</t>
  </si>
  <si>
    <t>TL</t>
  </si>
  <si>
    <t>251202 v1</t>
  </si>
  <si>
    <t>Two-face Test</t>
  </si>
  <si>
    <t>251202 v2</t>
  </si>
  <si>
    <t>4 x 16</t>
  </si>
  <si>
    <t>251202 v3</t>
  </si>
  <si>
    <t>8 x 32</t>
  </si>
  <si>
    <t>251202 v4</t>
  </si>
  <si>
    <t>12 x 40</t>
  </si>
  <si>
    <t>251202 v5</t>
  </si>
  <si>
    <t>251202 v6</t>
  </si>
  <si>
    <t>251202 v7</t>
  </si>
  <si>
    <t>251202 v8</t>
  </si>
  <si>
    <t>max z deformation (mm)</t>
  </si>
  <si>
    <t>min z deformation (mm)</t>
  </si>
  <si>
    <t>251215a/b</t>
  </si>
  <si>
    <t>Two-point Test</t>
  </si>
  <si>
    <t>251223 v1</t>
  </si>
  <si>
    <t>251223 v2</t>
  </si>
  <si>
    <t>251223 v3</t>
  </si>
  <si>
    <t>251223 v4</t>
  </si>
  <si>
    <t>251223 v5</t>
  </si>
  <si>
    <t>251223 v6</t>
  </si>
  <si>
    <t>251223 v7</t>
  </si>
  <si>
    <t>Didn't generate</t>
  </si>
  <si>
    <t>251223 v8</t>
  </si>
  <si>
    <t>251223 v9</t>
  </si>
  <si>
    <t>251223 v10</t>
  </si>
  <si>
    <t>251223 v11</t>
  </si>
  <si>
    <t>251223 v12</t>
  </si>
  <si>
    <t>251223 v13</t>
  </si>
  <si>
    <t>251223 v14</t>
  </si>
  <si>
    <t>251223 v15</t>
  </si>
  <si>
    <t>251223 v16</t>
  </si>
  <si>
    <t>251223 v17</t>
  </si>
  <si>
    <t>251223 v18</t>
  </si>
  <si>
    <t>251224 v1</t>
  </si>
  <si>
    <t>251224 v2</t>
  </si>
  <si>
    <t>251224 v3</t>
  </si>
  <si>
    <t>Didn't generate correctly</t>
  </si>
  <si>
    <t>251224 v4</t>
  </si>
  <si>
    <t>251224 v5</t>
  </si>
  <si>
    <t>Didn’t generate</t>
  </si>
  <si>
    <t>251224 v6</t>
  </si>
  <si>
    <t>251224 v7</t>
  </si>
  <si>
    <t>251224 v8</t>
  </si>
  <si>
    <t>251224 v9</t>
  </si>
  <si>
    <t>max z</t>
  </si>
  <si>
    <t>min z</t>
  </si>
  <si>
    <t>260106 v1</t>
  </si>
  <si>
    <t>Two-point test</t>
  </si>
  <si>
    <t>260106 v2</t>
  </si>
  <si>
    <t>260106 v3</t>
  </si>
  <si>
    <t>260106 v4</t>
  </si>
  <si>
    <t>260106 v5</t>
  </si>
  <si>
    <t>260106 v6</t>
  </si>
  <si>
    <t>260106 v7</t>
  </si>
  <si>
    <t>260106 v8</t>
  </si>
  <si>
    <t>260106 v9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</si>
</sst>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E+00"/>
  </numFmts>
  <fonts count="1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theme="4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sz val="11"/>
      <color theme="4"/>
      <name val="Aptos Narrow"/>
      <family val="2"/>
      <scheme val="minor"/>
    </font>
    <font>
      <b/>
      <sz val="14"/>
      <color theme="6" tint="-0.249977111117893"/>
      <name val="Aptos Narrow"/>
      <scheme val="minor"/>
    </font>
    <font>
      <b/>
      <sz val="11"/>
      <color theme="6" tint="-0.249977111117893"/>
      <name val="Aptos Narrow"/>
      <scheme val="minor"/>
    </font>
    <font>
      <sz val="11"/>
      <color theme="6" tint="-0.249977111117893"/>
      <name val="Aptos Narrow"/>
      <scheme val="minor"/>
    </font>
    <font>
      <b/>
      <sz val="14"/>
      <color theme="5" tint="-0.499984740745262"/>
      <name val="Aptos Narrow"/>
      <family val="2"/>
      <scheme val="minor"/>
    </font>
    <font>
      <b/>
      <sz val="11"/>
      <color theme="5" tint="-0.499984740745262"/>
      <name val="Aptos Narrow"/>
      <family val="2"/>
      <scheme val="minor"/>
    </font>
    <font>
      <sz val="11"/>
      <color theme="5" tint="-0.499984740745262"/>
      <name val="Aptos Narrow"/>
      <family val="2"/>
      <scheme val="minor"/>
    </font>
    <font>
      <sz val="16"/>
      <color theme="1"/>
      <name val="Helvetica Neue"/>
      <family val="2"/>
    </font>
    <font>
      <sz val="10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11" fontId="0" fillId="0" borderId="0" xfId="0" applyNumberFormat="1"/>
    <xf numFmtId="0" fontId="4" fillId="0" borderId="0" xfId="0" applyFont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1" fontId="8" fillId="0" borderId="0" xfId="0" applyNumberFormat="1" applyFont="1"/>
    <xf numFmtId="0" fontId="8" fillId="0" borderId="0" xfId="0" applyFont="1"/>
    <xf numFmtId="164" fontId="8" fillId="0" borderId="0" xfId="0" applyNumberFormat="1" applyFont="1"/>
    <xf numFmtId="0" fontId="7" fillId="0" borderId="0" xfId="0" applyFont="1"/>
    <xf numFmtId="11" fontId="8" fillId="2" borderId="0" xfId="0" applyNumberFormat="1" applyFont="1" applyFill="1"/>
    <xf numFmtId="0" fontId="8" fillId="2" borderId="0" xfId="0" applyFont="1" applyFill="1"/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/>
    <xf numFmtId="0" fontId="12" fillId="0" borderId="0" xfId="0" applyFont="1"/>
    <xf numFmtId="165" fontId="8" fillId="2" borderId="0" xfId="0" applyNumberFormat="1" applyFont="1" applyFill="1"/>
    <xf numFmtId="165" fontId="8" fillId="0" borderId="0" xfId="0" applyNumberFormat="1" applyFont="1"/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5061341892259258"/>
          <c:y val="5.0274223034734916E-2"/>
          <c:w val="0.77228258486578449"/>
          <c:h val="0.73951834631274382"/>
        </c:manualLayout>
      </c:layout>
      <c:surface3DChart>
        <c:wireframe val="1"/>
        <c:ser>
          <c:idx val="0"/>
          <c:order val="0"/>
          <c:tx>
            <c:v>4 x 16</c:v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cat>
            <c:numRef>
              <c:f>Sheet1!$W$3:$Y$3</c:f>
              <c:numCache>
                <c:formatCode>General</c:formatCode>
                <c:ptCount val="3"/>
                <c:pt idx="0">
                  <c:v>0.2</c:v>
                </c:pt>
                <c:pt idx="1">
                  <c:v>0.5</c:v>
                </c:pt>
                <c:pt idx="2">
                  <c:v>0.9</c:v>
                </c:pt>
              </c:numCache>
            </c:numRef>
          </c:cat>
          <c:val>
            <c:numRef>
              <c:f>Sheet1!$W$4:$Y$4</c:f>
              <c:numCache>
                <c:formatCode>0.00E+00</c:formatCode>
                <c:ptCount val="3"/>
                <c:pt idx="0">
                  <c:v>3.9795E-8</c:v>
                </c:pt>
                <c:pt idx="1">
                  <c:v>1.4945E-6</c:v>
                </c:pt>
                <c:pt idx="2">
                  <c:v>2.3195000000000001E-5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67F-C64C-8D4B-C121FB6D5242}"/>
            </c:ext>
          </c:extLst>
        </c:ser>
        <c:ser>
          <c:idx val="1"/>
          <c:order val="1"/>
          <c:tx>
            <c:v>8 x 32</c:v>
          </c:tx>
          <c:spPr>
            <a:ln w="9525" cap="rnd">
              <a:solidFill>
                <a:schemeClr val="accent2"/>
              </a:solidFill>
              <a:round/>
            </a:ln>
            <a:effectLst/>
          </c:spPr>
          <c:cat>
            <c:numRef>
              <c:f>Sheet1!$W$3:$Y$3</c:f>
              <c:numCache>
                <c:formatCode>General</c:formatCode>
                <c:ptCount val="3"/>
                <c:pt idx="0">
                  <c:v>0.2</c:v>
                </c:pt>
                <c:pt idx="1">
                  <c:v>0.5</c:v>
                </c:pt>
                <c:pt idx="2">
                  <c:v>0.9</c:v>
                </c:pt>
              </c:numCache>
            </c:numRef>
          </c:cat>
          <c:val>
            <c:numRef>
              <c:f>Sheet1!$W$5:$Y$5</c:f>
              <c:numCache>
                <c:formatCode>0.00E+00</c:formatCode>
                <c:ptCount val="3"/>
                <c:pt idx="0">
                  <c:v>2.1164999999999999E-7</c:v>
                </c:pt>
                <c:pt idx="1">
                  <c:v>8.0705000000000001E-6</c:v>
                </c:pt>
                <c:pt idx="2">
                  <c:v>7.7559999999999996E-5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367F-C64C-8D4B-C121FB6D5242}"/>
            </c:ext>
          </c:extLst>
        </c:ser>
        <c:ser>
          <c:idx val="2"/>
          <c:order val="2"/>
          <c:tx>
            <c:v>12 x 40</c:v>
          </c:tx>
          <c:val>
            <c:numRef>
              <c:f>Sheet1!$W$6:$Y$6</c:f>
              <c:numCache>
                <c:formatCode>0.00E+00</c:formatCode>
                <c:ptCount val="3"/>
                <c:pt idx="0">
                  <c:v>4.0466999999999998E-7</c:v>
                </c:pt>
                <c:pt idx="1">
                  <c:v>1.4724E-5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52C9-0A46-BE83-21E5E308269E}"/>
            </c:ext>
          </c:extLst>
        </c:ser>
        <c:bandFmts>
          <c:bandFmt>
            <c:idx val="0"/>
            <c:spPr>
              <a:ln w="9525" cap="rnd">
                <a:solidFill>
                  <a:schemeClr val="accent1"/>
                </a:solidFill>
                <a:round/>
              </a:ln>
              <a:effectLst/>
            </c:spPr>
          </c:bandFmt>
          <c:bandFmt>
            <c:idx val="1"/>
            <c:spPr>
              <a:ln w="9525" cap="rnd">
                <a:solidFill>
                  <a:schemeClr val="accent2"/>
                </a:solidFill>
                <a:round/>
              </a:ln>
              <a:effectLst/>
            </c:spPr>
          </c:bandFmt>
          <c:bandFmt>
            <c:idx val="2"/>
            <c:spPr>
              <a:ln w="9525" cap="rnd">
                <a:solidFill>
                  <a:schemeClr val="accent4"/>
                </a:solidFill>
                <a:round/>
              </a:ln>
              <a:effectLst/>
            </c:spPr>
          </c:bandFmt>
          <c:bandFmt>
            <c:idx val="4"/>
            <c:spPr>
              <a:ln w="9525" cap="rnd">
                <a:solidFill>
                  <a:schemeClr val="accent5"/>
                </a:solidFill>
                <a:round/>
              </a:ln>
              <a:effectLst/>
            </c:spPr>
          </c:bandFmt>
          <c:bandFmt>
            <c:idx val="5"/>
            <c:spPr>
              <a:ln w="9525" cap="rnd">
                <a:solidFill>
                  <a:schemeClr val="accent6"/>
                </a:solidFill>
                <a:round/>
              </a:ln>
              <a:effectLst/>
            </c:spPr>
          </c:bandFmt>
          <c:bandFmt>
            <c:idx val="6"/>
            <c:spPr>
              <a:ln w="9525" cap="rnd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bandFmt>
          <c:bandFmt>
            <c:idx val="7"/>
            <c:spPr>
              <a:ln w="9525" cap="rnd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bandFmt>
          <c:bandFmt>
            <c:idx val="8"/>
            <c:spPr>
              <a:ln w="9525" cap="rnd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</c:bandFmt>
          <c:bandFmt>
            <c:idx val="9"/>
            <c:spPr>
              <a:ln w="9525" cap="rnd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</c:bandFmt>
          <c:bandFmt>
            <c:idx val="10"/>
            <c:spPr>
              <a:ln w="9525" cap="rnd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</c:bandFmt>
          <c:bandFmt>
            <c:idx val="11"/>
            <c:spPr>
              <a:ln w="9525" cap="rnd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</c:bandFmt>
          <c:bandFmt>
            <c:idx val="12"/>
            <c:spPr>
              <a:ln w="9525" cap="rnd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/>
            </c:spPr>
          </c:bandFmt>
          <c:bandFmt>
            <c:idx val="13"/>
            <c:spPr>
              <a:ln w="9525" cap="rnd">
                <a:solidFill>
                  <a:schemeClr val="accent2">
                    <a:lumMod val="80000"/>
                    <a:lumOff val="20000"/>
                  </a:schemeClr>
                </a:solidFill>
                <a:round/>
              </a:ln>
              <a:effectLst/>
            </c:spPr>
          </c:bandFmt>
          <c:bandFmt>
            <c:idx val="14"/>
            <c:spPr>
              <a:ln w="9525" cap="rnd">
                <a:solidFill>
                  <a:schemeClr val="accent3">
                    <a:lumMod val="80000"/>
                    <a:lumOff val="20000"/>
                  </a:schemeClr>
                </a:solidFill>
                <a:round/>
              </a:ln>
              <a:effectLst/>
            </c:spPr>
          </c:bandFmt>
        </c:bandFmts>
        <c:axId val="534719328"/>
        <c:axId val="1019280864"/>
        <c:axId val="494852624"/>
      </c:surface3DChart>
      <c:catAx>
        <c:axId val="5347193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9280864"/>
        <c:crosses val="autoZero"/>
        <c:auto val="1"/>
        <c:lblAlgn val="ctr"/>
        <c:lblOffset val="100"/>
        <c:noMultiLvlLbl val="0"/>
      </c:catAx>
      <c:valAx>
        <c:axId val="1019280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4719328"/>
        <c:crosses val="autoZero"/>
        <c:crossBetween val="midCat"/>
      </c:valAx>
      <c:serAx>
        <c:axId val="494852624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9280864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160243</xdr:colOff>
      <xdr:row>9</xdr:row>
      <xdr:rowOff>123248</xdr:rowOff>
    </xdr:from>
    <xdr:to>
      <xdr:col>28</xdr:col>
      <xdr:colOff>352215</xdr:colOff>
      <xdr:row>24</xdr:row>
      <xdr:rowOff>8948</xdr:rowOff>
    </xdr:to>
    <xdr:graphicFrame macro="">
      <xdr:nvGraphicFramePr>
        <xdr:cNvPr id="9" name="Chart 3">
          <a:extLst>
            <a:ext uri="{FF2B5EF4-FFF2-40B4-BE49-F238E27FC236}">
              <a16:creationId xmlns:a16="http://schemas.microsoft.com/office/drawing/2014/main" id="{CED25CDF-2DCF-272E-8146-8040334D37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yler Lee" id="{808630DE-0582-4668-8B1B-67E7FA091AD7}" userId="S::tlee166@jh.edu::bbf0f06e-b9a3-4b89-9f3e-dc9754f071b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Q2" dT="2025-12-02T20:14:33.61" personId="{808630DE-0582-4668-8B1B-67E7FA091AD7}" id="{7522AD45-6B56-47D9-B6A8-1E15329FD40E}">
    <text>Max after full displacement</text>
  </threadedComment>
  <threadedComment ref="S2" dT="2025-12-02T19:55:46.95" personId="{808630DE-0582-4668-8B1B-67E7FA091AD7}" id="{2AB65BDC-3CDB-42B8-B999-4C8199E3ABC1}">
    <text>Probed at upper node closest to displacement.</text>
  </threadedComment>
  <threadedComment ref="R3" dT="2025-12-02T19:46:19.00" personId="{808630DE-0582-4668-8B1B-67E7FA091AD7}" id="{EA92B2B9-96FC-46F8-B2FA-E69978A24C29}">
    <text>Node not in midline plane (maximum deformation along major axis)</text>
  </threadedComment>
  <threadedComment ref="Q5" dT="2025-12-02T21:12:03.92" personId="{808630DE-0582-4668-8B1B-67E7FA091AD7}" id="{167DD8F5-921D-45C2-B57F-2B868A1DFB45}">
    <text>Double check if global or cylindrical coordinates</text>
  </threadedComment>
  <threadedComment ref="P7" dT="2025-12-12T21:22:46.59" personId="{808630DE-0582-4668-8B1B-67E7FA091AD7}" id="{6F0ED70F-3A7E-4672-8EF0-143A91737B88}">
    <text>Did run to completion (roughly 75%); I think the structure is too macroscopically rigid to go any further</text>
  </threadedComment>
  <threadedComment ref="H10" dT="2025-12-12T21:34:50.28" personId="{808630DE-0582-4668-8B1B-67E7FA091AD7}" id="{130EF49F-CE2F-4EC7-AEF6-4F4C8EF3480D}">
    <text>max thickness for this matrix density</text>
  </threadedComment>
  <threadedComment ref="N10" dT="2025-12-12T21:57:27.72" personId="{808630DE-0582-4668-8B1B-67E7FA091AD7}" id="{063D0B2B-AF4F-42E1-9CE6-EDB54931DC18}">
    <text>Mesh throwing errors at 0.5 (seemingly bc of surface details—need to check the CAD?); faces not aligned</text>
  </threadedComment>
  <threadedComment ref="P10" dT="2025-12-12T22:19:37.34" personId="{808630DE-0582-4668-8B1B-67E7FA091AD7}" id="{2FF1865B-7B45-48F5-A1D3-1EBF497A6902}">
    <text>Did run to completion (roughly 75%); I think the structure is too macroscopically rigid to go any further</text>
  </threadedComment>
  <threadedComment ref="S11" dT="2025-12-16T01:49:05.54" personId="{808630DE-0582-4668-8B1B-67E7FA091AD7}" id="{58A90C29-880C-5D41-97CB-07B48193A766}">
    <text>Make sure these are occuring at the vertices in the same XZ plane as the nodal displacement</text>
  </threadedComment>
  <threadedComment ref="C19" dT="2025-12-16T01:38:00.66" personId="{808630DE-0582-4668-8B1B-67E7FA091AD7}" id="{FBBFFF39-45D8-5040-A4A1-FBA5272DE07F}">
    <text>v7 on lab 3 is actually a duplicate of v6; v8 should be v7 and I need to download v8 from onshape (update: all cad files are correct, ignore 251202 v8 and use 251215 v8 instead)</text>
  </threadedComment>
  <threadedComment ref="H19" dT="2025-12-12T21:34:50.28" personId="{808630DE-0582-4668-8B1B-67E7FA091AD7}" id="{5DAB6213-6701-BF40-BBE3-F37294C92BBD}">
    <text>max thickness for this matrix density</text>
  </threadedComment>
  <threadedComment ref="N19" dT="2025-12-12T21:57:27.72" personId="{808630DE-0582-4668-8B1B-67E7FA091AD7}" id="{9EC3938C-49F2-EA46-A691-F2FF778B421D}">
    <text>Mesh throwing errors at 0.5 (seemingly bc of surface details—need to check the CAD?); faces not aligned</text>
  </threadedComment>
  <threadedComment ref="D21" dT="2025-12-23T22:49:40.16" personId="{808630DE-0582-4668-8B1B-67E7FA091AD7}" id="{1FC6858E-30A3-3448-89BE-30C1BDC94D1D}">
    <text>Delete if not needed: Vara had 12 20 20 35 loaded</text>
  </threadedComment>
  <threadedComment ref="A40" dT="2025-12-23T23:59:52.89" personId="{808630DE-0582-4668-8B1B-67E7FA091AD7}" id="{072C1093-5D9E-FD4F-83F3-BFA15C7D959E}">
    <text>atp the dates r js serial numbers (ie dont trust the date)</text>
  </threadedComment>
  <threadedComment ref="T52" dT="2026-01-06T06:01:32.47" personId="{808630DE-0582-4668-8B1B-67E7FA091AD7}" id="{C4ED95F8-1076-7F4C-80AB-4183BD4EB52F}">
    <text>Max and min do not occur on a vertex exactly in the XZ plane of the displacement (closest neighbor instead)</text>
  </threadedComment>
  <threadedComment ref="T54" dT="2026-01-06T06:13:58.02" personId="{808630DE-0582-4668-8B1B-67E7FA091AD7}" id="{41DD3638-AF54-C943-92F4-758E9E2D3207}">
    <text>ditto as v3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Q1" dT="2025-12-02T20:14:33.61" personId="{808630DE-0582-4668-8B1B-67E7FA091AD7}" id="{3FA0892B-5B74-794B-93EE-EBE8878DFF5E}">
    <text>Max after full displacement</text>
  </threadedComment>
  <threadedComment ref="S1" dT="2025-12-02T19:55:46.95" personId="{808630DE-0582-4668-8B1B-67E7FA091AD7}" id="{09BDF13B-A88A-EE4A-A992-1F37AA049A92}">
    <text>Probed at upper node closest to displacement.</text>
  </threadedComment>
  <threadedComment ref="T4" dT="2026-01-06T06:01:32.47" personId="{808630DE-0582-4668-8B1B-67E7FA091AD7}" id="{BC6498FB-B949-B144-B392-6F86819F554F}">
    <text>Max and min do not occur on a vertex exactly in the XZ plane of the displacement (closest neighbor instead)</text>
  </threadedComment>
  <threadedComment ref="T6" dT="2026-01-06T06:13:58.02" personId="{808630DE-0582-4668-8B1B-67E7FA091AD7}" id="{523FD425-00DF-5B43-8892-28ABB8F78C80}">
    <text>ditto as v3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2"/>
  <sheetViews>
    <sheetView topLeftCell="A2" zoomScale="83" workbookViewId="0">
      <pane ySplit="1" topLeftCell="A3" activePane="bottomLeft" state="frozen"/>
      <selection activeCell="A2" sqref="A2"/>
      <selection pane="bottomLeft" activeCell="A50" sqref="A50:T58"/>
    </sheetView>
  </sheetViews>
  <sheetFormatPr baseColWidth="10" defaultColWidth="8.83203125" defaultRowHeight="15" x14ac:dyDescent="0.2"/>
  <cols>
    <col min="1" max="3" width="13.5" customWidth="1"/>
    <col min="4" max="4" width="7" style="4" bestFit="1" customWidth="1"/>
    <col min="5" max="5" width="8.5" style="4" bestFit="1" customWidth="1"/>
    <col min="6" max="6" width="6.5" style="4" bestFit="1" customWidth="1"/>
    <col min="7" max="7" width="9.83203125" style="4" bestFit="1" customWidth="1"/>
    <col min="8" max="8" width="5.33203125" style="4" bestFit="1" customWidth="1"/>
    <col min="9" max="9" width="8.1640625" style="4" bestFit="1" customWidth="1"/>
    <col min="10" max="10" width="8.5" style="4" bestFit="1" customWidth="1"/>
    <col min="11" max="11" width="10.5" style="4" bestFit="1" customWidth="1"/>
    <col min="12" max="12" width="13.6640625" style="4" bestFit="1" customWidth="1"/>
    <col min="13" max="13" width="17.5" style="4" bestFit="1" customWidth="1"/>
    <col min="14" max="14" width="18" style="15" bestFit="1" customWidth="1"/>
    <col min="15" max="16" width="15.33203125" style="15" customWidth="1"/>
    <col min="17" max="17" width="17.5" style="8" bestFit="1" customWidth="1"/>
    <col min="18" max="18" width="17" style="8" customWidth="1"/>
    <col min="19" max="19" width="18.83203125" style="8" bestFit="1" customWidth="1"/>
    <col min="20" max="20" width="18.83203125" style="8" customWidth="1"/>
    <col min="21" max="21" width="32.6640625" customWidth="1"/>
    <col min="23" max="26" width="9.33203125" bestFit="1" customWidth="1"/>
  </cols>
  <sheetData>
    <row r="1" spans="1:26" ht="19" hidden="1" x14ac:dyDescent="0.25">
      <c r="A1" s="1"/>
      <c r="B1" s="1"/>
      <c r="C1" s="1"/>
      <c r="D1" s="22" t="s">
        <v>0</v>
      </c>
      <c r="E1" s="22"/>
      <c r="F1" s="22"/>
      <c r="G1" s="22"/>
      <c r="H1" s="22"/>
      <c r="I1" s="22"/>
      <c r="J1" s="22"/>
      <c r="K1" s="22"/>
      <c r="L1" s="22"/>
      <c r="M1" s="22"/>
      <c r="N1" s="21" t="s">
        <v>1</v>
      </c>
      <c r="O1" s="21"/>
      <c r="P1" s="13"/>
      <c r="Q1" s="20" t="s">
        <v>2</v>
      </c>
      <c r="R1" s="20"/>
      <c r="S1" s="20"/>
      <c r="T1" s="5"/>
      <c r="U1" s="1"/>
    </row>
    <row r="2" spans="1:26" s="1" customFormat="1" x14ac:dyDescent="0.2">
      <c r="A2" s="1" t="s">
        <v>3</v>
      </c>
      <c r="B2" s="1" t="s">
        <v>4</v>
      </c>
      <c r="C2" s="1" t="s">
        <v>5</v>
      </c>
      <c r="D2" s="3" t="s">
        <v>6</v>
      </c>
      <c r="E2" s="3" t="s">
        <v>7</v>
      </c>
      <c r="F2" s="3" t="s">
        <v>8</v>
      </c>
      <c r="G2" s="3" t="s">
        <v>9</v>
      </c>
      <c r="H2" s="3" t="s">
        <v>10</v>
      </c>
      <c r="I2" s="3" t="s">
        <v>11</v>
      </c>
      <c r="J2" s="3" t="s">
        <v>12</v>
      </c>
      <c r="K2" s="3" t="s">
        <v>13</v>
      </c>
      <c r="L2" s="3" t="s">
        <v>14</v>
      </c>
      <c r="M2" s="3" t="s">
        <v>15</v>
      </c>
      <c r="N2" s="14" t="s">
        <v>16</v>
      </c>
      <c r="O2" s="14" t="s">
        <v>17</v>
      </c>
      <c r="P2" s="14" t="s">
        <v>18</v>
      </c>
      <c r="Q2" s="6" t="s">
        <v>19</v>
      </c>
      <c r="R2" s="6" t="s">
        <v>20</v>
      </c>
      <c r="S2" s="6" t="s">
        <v>21</v>
      </c>
      <c r="T2" s="6" t="s">
        <v>22</v>
      </c>
    </row>
    <row r="3" spans="1:26" x14ac:dyDescent="0.2">
      <c r="A3" s="19">
        <v>251202</v>
      </c>
      <c r="B3" s="19" t="s">
        <v>23</v>
      </c>
      <c r="C3" t="s">
        <v>24</v>
      </c>
      <c r="D3" s="4">
        <v>20</v>
      </c>
      <c r="E3" s="4">
        <v>23</v>
      </c>
      <c r="F3" s="4">
        <v>50</v>
      </c>
      <c r="G3" s="4">
        <v>50</v>
      </c>
      <c r="H3" s="4">
        <v>0.2</v>
      </c>
      <c r="I3" s="4">
        <v>4</v>
      </c>
      <c r="J3" s="4">
        <v>16</v>
      </c>
      <c r="K3" s="4">
        <v>20.399999999999999</v>
      </c>
      <c r="L3" s="4">
        <v>5.0999999999999996</v>
      </c>
      <c r="M3" s="4">
        <v>0.249</v>
      </c>
      <c r="N3" s="15">
        <v>1</v>
      </c>
      <c r="O3" s="15">
        <v>-1</v>
      </c>
      <c r="P3" s="15" t="s">
        <v>25</v>
      </c>
      <c r="Q3" s="7">
        <v>1.2225000000000001E-5</v>
      </c>
      <c r="R3" s="8">
        <v>0.38440000000000002</v>
      </c>
      <c r="S3" s="9">
        <v>4.6002000000000001E-2</v>
      </c>
      <c r="T3" s="9">
        <f>R3 / O3</f>
        <v>-0.38440000000000002</v>
      </c>
      <c r="W3">
        <v>0.2</v>
      </c>
      <c r="X3">
        <v>0.5</v>
      </c>
      <c r="Y3">
        <v>0.9</v>
      </c>
    </row>
    <row r="4" spans="1:26" x14ac:dyDescent="0.2">
      <c r="A4" s="19"/>
      <c r="B4" s="19"/>
      <c r="C4" t="s">
        <v>26</v>
      </c>
      <c r="D4" s="4">
        <v>20</v>
      </c>
      <c r="E4" s="4">
        <v>23</v>
      </c>
      <c r="F4" s="4">
        <v>50</v>
      </c>
      <c r="G4" s="4">
        <v>50</v>
      </c>
      <c r="H4" s="4">
        <v>0.5</v>
      </c>
      <c r="I4" s="4">
        <v>4</v>
      </c>
      <c r="J4" s="4">
        <v>16</v>
      </c>
      <c r="K4" s="4">
        <v>21</v>
      </c>
      <c r="L4" s="4">
        <v>5.25</v>
      </c>
      <c r="M4" s="4">
        <v>0.623</v>
      </c>
      <c r="N4" s="15">
        <v>1</v>
      </c>
      <c r="O4" s="15">
        <v>-1</v>
      </c>
      <c r="P4" s="15" t="s">
        <v>25</v>
      </c>
      <c r="Q4" s="7">
        <v>1.4671999999999999E-5</v>
      </c>
      <c r="R4" s="8">
        <v>0.40347</v>
      </c>
      <c r="S4" s="9">
        <v>3.5000000000000003E-2</v>
      </c>
      <c r="T4" s="9">
        <f t="shared" ref="T4:T10" si="0">R4 / O4</f>
        <v>-0.40347</v>
      </c>
      <c r="V4" t="s">
        <v>27</v>
      </c>
      <c r="W4" s="2">
        <f>-Q12</f>
        <v>3.9795E-8</v>
      </c>
      <c r="X4" s="2">
        <f>-Q13</f>
        <v>1.4945E-6</v>
      </c>
      <c r="Y4" s="2">
        <f>-Q14</f>
        <v>2.3195000000000001E-5</v>
      </c>
    </row>
    <row r="5" spans="1:26" x14ac:dyDescent="0.2">
      <c r="A5" s="19"/>
      <c r="B5" s="19"/>
      <c r="C5" t="s">
        <v>28</v>
      </c>
      <c r="D5" s="4">
        <v>20</v>
      </c>
      <c r="E5" s="4">
        <v>23</v>
      </c>
      <c r="F5" s="4">
        <v>50</v>
      </c>
      <c r="G5" s="4">
        <v>50</v>
      </c>
      <c r="H5" s="4">
        <v>1</v>
      </c>
      <c r="I5" s="4">
        <v>4</v>
      </c>
      <c r="J5" s="4">
        <v>16</v>
      </c>
      <c r="K5" s="4">
        <v>22</v>
      </c>
      <c r="L5" s="4">
        <v>5.5</v>
      </c>
      <c r="M5" s="4">
        <v>1.246</v>
      </c>
      <c r="N5" s="15">
        <v>1</v>
      </c>
      <c r="O5" s="15">
        <v>-1</v>
      </c>
      <c r="P5" s="15" t="s">
        <v>25</v>
      </c>
      <c r="Q5" s="7">
        <v>2.9570999999999999E-5</v>
      </c>
      <c r="R5" s="8">
        <v>0.41997000000000001</v>
      </c>
      <c r="S5" s="9">
        <v>3.209E-2</v>
      </c>
      <c r="T5" s="9">
        <f t="shared" si="0"/>
        <v>-0.41997000000000001</v>
      </c>
      <c r="V5" t="s">
        <v>29</v>
      </c>
      <c r="W5" s="2">
        <f>-Q15</f>
        <v>2.1164999999999999E-7</v>
      </c>
      <c r="X5" s="2">
        <f>-Q16</f>
        <v>8.0705000000000001E-6</v>
      </c>
      <c r="Y5" s="2">
        <f>-Q17</f>
        <v>7.7559999999999996E-5</v>
      </c>
      <c r="Z5" s="2"/>
    </row>
    <row r="6" spans="1:26" x14ac:dyDescent="0.2">
      <c r="A6" s="19"/>
      <c r="B6" s="19"/>
      <c r="C6" t="s">
        <v>30</v>
      </c>
      <c r="D6" s="4">
        <v>20</v>
      </c>
      <c r="E6" s="4">
        <v>23</v>
      </c>
      <c r="F6" s="4">
        <v>50</v>
      </c>
      <c r="G6" s="4">
        <v>50</v>
      </c>
      <c r="H6" s="4">
        <v>0.2</v>
      </c>
      <c r="I6" s="4">
        <v>8</v>
      </c>
      <c r="J6" s="4">
        <v>32</v>
      </c>
      <c r="K6" s="4">
        <v>20.399999999999999</v>
      </c>
      <c r="L6" s="4">
        <v>2.5499999999999998</v>
      </c>
      <c r="M6" s="4">
        <v>0.249</v>
      </c>
      <c r="N6" s="15">
        <v>0.5</v>
      </c>
      <c r="O6" s="15">
        <v>-1</v>
      </c>
      <c r="P6" s="15" t="s">
        <v>25</v>
      </c>
      <c r="Q6" s="7">
        <v>2.3802E-5</v>
      </c>
      <c r="R6" s="8">
        <v>0.53873000000000004</v>
      </c>
      <c r="S6" s="9">
        <v>1.0161</v>
      </c>
      <c r="T6" s="9">
        <f t="shared" si="0"/>
        <v>-0.53873000000000004</v>
      </c>
      <c r="V6" t="s">
        <v>31</v>
      </c>
      <c r="W6" s="2">
        <f>-Q18</f>
        <v>4.0466999999999998E-7</v>
      </c>
      <c r="X6" s="2">
        <f>-Q19</f>
        <v>1.4724E-5</v>
      </c>
    </row>
    <row r="7" spans="1:26" x14ac:dyDescent="0.2">
      <c r="A7" s="19"/>
      <c r="B7" s="19"/>
      <c r="C7" t="s">
        <v>32</v>
      </c>
      <c r="D7" s="4">
        <v>20</v>
      </c>
      <c r="E7" s="4">
        <v>23</v>
      </c>
      <c r="F7" s="4">
        <v>50</v>
      </c>
      <c r="G7" s="4">
        <v>50</v>
      </c>
      <c r="H7" s="4">
        <v>0.5</v>
      </c>
      <c r="I7" s="4">
        <v>8</v>
      </c>
      <c r="J7" s="4">
        <v>32</v>
      </c>
      <c r="K7" s="4">
        <v>21</v>
      </c>
      <c r="L7" s="4">
        <v>2.625</v>
      </c>
      <c r="M7" s="4">
        <v>0.623</v>
      </c>
      <c r="N7" s="15">
        <v>0.3</v>
      </c>
      <c r="O7" s="15">
        <v>-0.8</v>
      </c>
      <c r="P7" s="15" t="s">
        <v>25</v>
      </c>
      <c r="Q7" s="7">
        <v>1.13E-4</v>
      </c>
      <c r="R7" s="8">
        <v>0.41693000000000002</v>
      </c>
      <c r="S7" s="8">
        <v>0.6</v>
      </c>
      <c r="T7" s="9">
        <f t="shared" si="0"/>
        <v>-0.52116249999999997</v>
      </c>
    </row>
    <row r="8" spans="1:26" x14ac:dyDescent="0.2">
      <c r="A8" s="19"/>
      <c r="B8" s="19"/>
      <c r="C8" t="s">
        <v>33</v>
      </c>
      <c r="D8" s="4">
        <v>20</v>
      </c>
      <c r="E8" s="4">
        <v>23</v>
      </c>
      <c r="F8" s="4">
        <v>50</v>
      </c>
      <c r="G8" s="4">
        <v>50</v>
      </c>
      <c r="H8" s="4">
        <v>0.9</v>
      </c>
      <c r="I8" s="4">
        <v>8</v>
      </c>
      <c r="J8" s="4">
        <v>32</v>
      </c>
      <c r="K8" s="4">
        <v>21.8</v>
      </c>
      <c r="L8" s="4">
        <v>2.7250000000000001</v>
      </c>
      <c r="M8" s="4">
        <v>1.121</v>
      </c>
      <c r="N8" s="15">
        <v>0.5</v>
      </c>
      <c r="O8" s="15">
        <v>-0.8</v>
      </c>
      <c r="P8" s="15" t="s">
        <v>25</v>
      </c>
      <c r="Q8" s="7">
        <v>3.054E-4</v>
      </c>
      <c r="R8" s="8">
        <v>0.36499999999999999</v>
      </c>
      <c r="S8" s="8">
        <v>0.61</v>
      </c>
      <c r="T8" s="9">
        <f t="shared" si="0"/>
        <v>-0.45624999999999999</v>
      </c>
    </row>
    <row r="9" spans="1:26" x14ac:dyDescent="0.2">
      <c r="A9" s="19"/>
      <c r="B9" s="19"/>
      <c r="C9" t="s">
        <v>34</v>
      </c>
      <c r="D9" s="4">
        <v>20</v>
      </c>
      <c r="E9" s="4">
        <v>23</v>
      </c>
      <c r="F9" s="4">
        <v>50</v>
      </c>
      <c r="G9" s="4">
        <v>50</v>
      </c>
      <c r="H9" s="4">
        <v>0.2</v>
      </c>
      <c r="I9" s="4">
        <v>12</v>
      </c>
      <c r="J9" s="4">
        <v>40</v>
      </c>
      <c r="K9" s="4">
        <v>20.399999999999999</v>
      </c>
      <c r="L9" s="4">
        <v>1.7</v>
      </c>
      <c r="M9" s="4">
        <v>0.249</v>
      </c>
      <c r="N9" s="15">
        <v>0.5</v>
      </c>
      <c r="O9" s="15">
        <v>-1</v>
      </c>
      <c r="P9" s="15" t="s">
        <v>25</v>
      </c>
      <c r="Q9" s="7">
        <v>4.4999999999999999E-4</v>
      </c>
      <c r="R9" s="8">
        <v>0.69</v>
      </c>
      <c r="S9" s="8">
        <v>1.5</v>
      </c>
      <c r="T9" s="9">
        <f t="shared" si="0"/>
        <v>-0.69</v>
      </c>
    </row>
    <row r="10" spans="1:26" x14ac:dyDescent="0.2">
      <c r="A10" s="19"/>
      <c r="B10" s="19"/>
      <c r="C10" t="s">
        <v>35</v>
      </c>
      <c r="D10" s="4">
        <v>20</v>
      </c>
      <c r="E10" s="4">
        <v>23</v>
      </c>
      <c r="F10" s="4">
        <v>50</v>
      </c>
      <c r="G10" s="4">
        <v>50</v>
      </c>
      <c r="H10" s="4">
        <v>0.5</v>
      </c>
      <c r="I10" s="4">
        <v>12</v>
      </c>
      <c r="J10" s="4">
        <v>40</v>
      </c>
      <c r="K10" s="4">
        <v>21</v>
      </c>
      <c r="L10" s="4">
        <v>1.75</v>
      </c>
      <c r="M10" s="4">
        <v>0.623</v>
      </c>
      <c r="N10" s="15">
        <v>0.4</v>
      </c>
      <c r="O10" s="15">
        <v>-1</v>
      </c>
      <c r="P10" s="15" t="s">
        <v>25</v>
      </c>
      <c r="Q10" s="7">
        <v>1.06E-4</v>
      </c>
      <c r="R10" s="8">
        <v>0.37514999999999998</v>
      </c>
      <c r="S10" s="8">
        <v>0.94</v>
      </c>
      <c r="T10" s="9">
        <f t="shared" si="0"/>
        <v>-0.37514999999999998</v>
      </c>
    </row>
    <row r="11" spans="1:26" x14ac:dyDescent="0.2">
      <c r="A11" s="19"/>
      <c r="B11" s="19"/>
      <c r="S11" s="10" t="s">
        <v>36</v>
      </c>
      <c r="T11" s="10" t="s">
        <v>37</v>
      </c>
    </row>
    <row r="12" spans="1:26" x14ac:dyDescent="0.2">
      <c r="A12" s="19" t="s">
        <v>38</v>
      </c>
      <c r="B12" s="19" t="s">
        <v>23</v>
      </c>
      <c r="C12" t="s">
        <v>24</v>
      </c>
      <c r="D12" s="4">
        <v>20</v>
      </c>
      <c r="E12" s="4">
        <v>23</v>
      </c>
      <c r="F12" s="4">
        <v>50</v>
      </c>
      <c r="G12" s="4">
        <v>50</v>
      </c>
      <c r="H12" s="4">
        <v>0.2</v>
      </c>
      <c r="I12" s="4">
        <v>4</v>
      </c>
      <c r="J12" s="4">
        <v>16</v>
      </c>
      <c r="K12" s="4">
        <v>20.399999999999999</v>
      </c>
      <c r="L12" s="4">
        <v>5.0999999999999996</v>
      </c>
      <c r="M12" s="4">
        <v>0.249</v>
      </c>
      <c r="N12" s="15">
        <v>1</v>
      </c>
      <c r="O12" s="15">
        <v>-1</v>
      </c>
      <c r="P12" s="15" t="s">
        <v>39</v>
      </c>
      <c r="Q12" s="11">
        <v>-3.9795E-8</v>
      </c>
      <c r="R12" s="12">
        <v>0.66317000000000004</v>
      </c>
      <c r="S12" s="12">
        <v>0.19225999999999999</v>
      </c>
      <c r="T12" s="12">
        <v>-0.19225</v>
      </c>
    </row>
    <row r="13" spans="1:26" x14ac:dyDescent="0.2">
      <c r="A13" s="19"/>
      <c r="B13" s="19"/>
      <c r="C13" t="s">
        <v>26</v>
      </c>
      <c r="D13" s="4">
        <v>20</v>
      </c>
      <c r="E13" s="4">
        <v>23</v>
      </c>
      <c r="F13" s="4">
        <v>50</v>
      </c>
      <c r="G13" s="4">
        <v>50</v>
      </c>
      <c r="H13" s="4">
        <v>0.5</v>
      </c>
      <c r="I13" s="4">
        <v>4</v>
      </c>
      <c r="J13" s="4">
        <v>16</v>
      </c>
      <c r="K13" s="4">
        <v>21</v>
      </c>
      <c r="L13" s="4">
        <v>5.25</v>
      </c>
      <c r="M13" s="4">
        <v>0.623</v>
      </c>
      <c r="N13" s="15">
        <v>1</v>
      </c>
      <c r="O13" s="15">
        <v>-1</v>
      </c>
      <c r="P13" s="15" t="s">
        <v>39</v>
      </c>
      <c r="Q13" s="11">
        <v>-1.4945E-6</v>
      </c>
      <c r="R13" s="12">
        <v>0.68091999999999997</v>
      </c>
      <c r="S13" s="12">
        <v>0.17094000000000001</v>
      </c>
      <c r="T13" s="12">
        <v>-0.16497999999999999</v>
      </c>
    </row>
    <row r="14" spans="1:26" x14ac:dyDescent="0.2">
      <c r="A14" s="19"/>
      <c r="B14" s="19"/>
      <c r="C14" t="s">
        <v>28</v>
      </c>
      <c r="D14" s="4">
        <v>20</v>
      </c>
      <c r="E14" s="4">
        <v>23</v>
      </c>
      <c r="F14" s="4">
        <v>50</v>
      </c>
      <c r="G14" s="4">
        <v>50</v>
      </c>
      <c r="H14" s="4">
        <v>1</v>
      </c>
      <c r="I14" s="4">
        <v>4</v>
      </c>
      <c r="J14" s="4">
        <v>16</v>
      </c>
      <c r="K14" s="4">
        <v>22</v>
      </c>
      <c r="L14" s="4">
        <v>5.5</v>
      </c>
      <c r="M14" s="4">
        <v>1.246</v>
      </c>
      <c r="N14" s="15">
        <v>1</v>
      </c>
      <c r="O14" s="15">
        <v>-1</v>
      </c>
      <c r="P14" s="15" t="s">
        <v>39</v>
      </c>
      <c r="Q14" s="11">
        <v>-2.3195000000000001E-5</v>
      </c>
      <c r="R14" s="12">
        <v>0.68937000000000004</v>
      </c>
      <c r="S14" s="12">
        <v>0.17649000000000001</v>
      </c>
      <c r="T14" s="12">
        <v>-0.16977999999999999</v>
      </c>
    </row>
    <row r="15" spans="1:26" x14ac:dyDescent="0.2">
      <c r="A15" s="19"/>
      <c r="B15" s="19"/>
      <c r="C15" t="s">
        <v>30</v>
      </c>
      <c r="D15" s="4">
        <v>20</v>
      </c>
      <c r="E15" s="4">
        <v>23</v>
      </c>
      <c r="F15" s="4">
        <v>50</v>
      </c>
      <c r="G15" s="4">
        <v>50</v>
      </c>
      <c r="H15" s="4">
        <v>0.2</v>
      </c>
      <c r="I15" s="4">
        <v>8</v>
      </c>
      <c r="J15" s="4">
        <v>32</v>
      </c>
      <c r="K15" s="4">
        <v>20.399999999999999</v>
      </c>
      <c r="L15" s="4">
        <v>2.5499999999999998</v>
      </c>
      <c r="M15" s="4">
        <v>0.249</v>
      </c>
      <c r="N15" s="15">
        <v>0.5</v>
      </c>
      <c r="O15" s="15">
        <v>-1</v>
      </c>
      <c r="P15" s="15" t="s">
        <v>39</v>
      </c>
      <c r="Q15" s="7">
        <v>-2.1164999999999999E-7</v>
      </c>
      <c r="R15" s="8">
        <v>0.65746000000000004</v>
      </c>
      <c r="S15" s="8">
        <v>1.3209</v>
      </c>
      <c r="T15" s="8">
        <v>-1.3236000000000001</v>
      </c>
    </row>
    <row r="16" spans="1:26" x14ac:dyDescent="0.2">
      <c r="A16" s="19"/>
      <c r="B16" s="19"/>
      <c r="C16" t="s">
        <v>32</v>
      </c>
      <c r="D16" s="4">
        <v>20</v>
      </c>
      <c r="E16" s="4">
        <v>23</v>
      </c>
      <c r="F16" s="4">
        <v>50</v>
      </c>
      <c r="G16" s="4">
        <v>50</v>
      </c>
      <c r="H16" s="4">
        <v>0.5</v>
      </c>
      <c r="I16" s="4">
        <v>8</v>
      </c>
      <c r="J16" s="4">
        <v>32</v>
      </c>
      <c r="K16" s="4">
        <v>21</v>
      </c>
      <c r="L16" s="4">
        <v>2.625</v>
      </c>
      <c r="M16" s="4">
        <v>0.623</v>
      </c>
      <c r="N16" s="15">
        <v>0.5</v>
      </c>
      <c r="O16" s="15">
        <v>-1</v>
      </c>
      <c r="P16" s="15" t="s">
        <v>39</v>
      </c>
      <c r="Q16" s="7">
        <v>-8.0705000000000001E-6</v>
      </c>
      <c r="R16" s="8">
        <v>0.67430999999999996</v>
      </c>
      <c r="S16" s="8">
        <v>1.2954000000000001</v>
      </c>
      <c r="T16" s="8">
        <v>-1.2898000000000001</v>
      </c>
    </row>
    <row r="17" spans="1:20" x14ac:dyDescent="0.2">
      <c r="A17" s="19"/>
      <c r="B17" s="19"/>
      <c r="C17" t="s">
        <v>33</v>
      </c>
      <c r="D17" s="4">
        <v>20</v>
      </c>
      <c r="E17" s="4">
        <v>23</v>
      </c>
      <c r="F17" s="4">
        <v>50</v>
      </c>
      <c r="G17" s="4">
        <v>50</v>
      </c>
      <c r="H17" s="4">
        <v>0.9</v>
      </c>
      <c r="I17" s="4">
        <v>8</v>
      </c>
      <c r="J17" s="4">
        <v>32</v>
      </c>
      <c r="K17" s="4">
        <v>21.8</v>
      </c>
      <c r="L17" s="4">
        <v>2.7250000000000001</v>
      </c>
      <c r="M17" s="4">
        <v>1.121</v>
      </c>
      <c r="N17" s="15">
        <v>0.7</v>
      </c>
      <c r="O17" s="15">
        <v>-1</v>
      </c>
      <c r="P17" s="15" t="s">
        <v>39</v>
      </c>
      <c r="Q17" s="7">
        <v>-7.7559999999999996E-5</v>
      </c>
      <c r="R17" s="8">
        <v>0.67637000000000003</v>
      </c>
      <c r="S17" s="8">
        <v>1.2028000000000001</v>
      </c>
      <c r="T17" s="8">
        <v>-1.1675</v>
      </c>
    </row>
    <row r="18" spans="1:20" x14ac:dyDescent="0.2">
      <c r="A18" s="19"/>
      <c r="B18" s="19"/>
      <c r="C18" t="s">
        <v>34</v>
      </c>
      <c r="D18" s="4">
        <v>20</v>
      </c>
      <c r="E18" s="4">
        <v>23</v>
      </c>
      <c r="F18" s="4">
        <v>50</v>
      </c>
      <c r="G18" s="4">
        <v>50</v>
      </c>
      <c r="H18" s="4">
        <v>0.2</v>
      </c>
      <c r="I18" s="4">
        <v>12</v>
      </c>
      <c r="J18" s="4">
        <v>40</v>
      </c>
      <c r="K18" s="4">
        <v>20.399999999999999</v>
      </c>
      <c r="L18" s="4">
        <v>1.7</v>
      </c>
      <c r="M18" s="4">
        <v>0.249</v>
      </c>
      <c r="N18" s="15">
        <v>0.5</v>
      </c>
      <c r="O18" s="15">
        <v>-1</v>
      </c>
      <c r="P18" s="15" t="s">
        <v>39</v>
      </c>
      <c r="Q18" s="11">
        <v>-4.0466999999999998E-7</v>
      </c>
      <c r="R18" s="12">
        <v>0.71243999999999996</v>
      </c>
      <c r="S18" s="12">
        <v>1.9372</v>
      </c>
      <c r="T18" s="12">
        <v>-1.9474</v>
      </c>
    </row>
    <row r="19" spans="1:20" x14ac:dyDescent="0.2">
      <c r="A19" s="19"/>
      <c r="B19" s="19"/>
      <c r="C19" t="s">
        <v>35</v>
      </c>
      <c r="D19" s="4">
        <v>20</v>
      </c>
      <c r="E19" s="4">
        <v>23</v>
      </c>
      <c r="F19" s="4">
        <v>50</v>
      </c>
      <c r="G19" s="4">
        <v>50</v>
      </c>
      <c r="H19" s="4">
        <v>0.5</v>
      </c>
      <c r="I19" s="4">
        <v>12</v>
      </c>
      <c r="J19" s="4">
        <v>40</v>
      </c>
      <c r="K19" s="4">
        <v>21</v>
      </c>
      <c r="L19" s="4">
        <v>1.75</v>
      </c>
      <c r="M19" s="4">
        <v>0.623</v>
      </c>
      <c r="N19" s="15">
        <v>0.45</v>
      </c>
      <c r="O19" s="15">
        <v>-1</v>
      </c>
      <c r="P19" s="15" t="s">
        <v>39</v>
      </c>
      <c r="Q19" s="11">
        <v>-1.4724E-5</v>
      </c>
      <c r="R19" s="12">
        <v>0.71723000000000003</v>
      </c>
      <c r="S19" s="12">
        <v>1.8491</v>
      </c>
      <c r="T19" s="12">
        <v>-1.8469</v>
      </c>
    </row>
    <row r="21" spans="1:20" x14ac:dyDescent="0.2">
      <c r="A21" s="19">
        <v>251223</v>
      </c>
      <c r="B21" s="19" t="s">
        <v>23</v>
      </c>
      <c r="C21" t="s">
        <v>40</v>
      </c>
      <c r="D21" s="4">
        <v>20</v>
      </c>
      <c r="E21" s="4">
        <v>23</v>
      </c>
      <c r="F21" s="4">
        <v>50</v>
      </c>
      <c r="G21" s="4">
        <v>50</v>
      </c>
      <c r="H21" s="4">
        <v>0.3</v>
      </c>
      <c r="I21" s="4">
        <v>6</v>
      </c>
      <c r="J21" s="4">
        <v>16</v>
      </c>
      <c r="K21" s="4">
        <v>20.9</v>
      </c>
      <c r="L21" s="4">
        <v>3.4830000000000001</v>
      </c>
      <c r="M21" s="4">
        <v>0.374</v>
      </c>
    </row>
    <row r="22" spans="1:20" x14ac:dyDescent="0.2">
      <c r="A22" s="19"/>
      <c r="B22" s="19"/>
      <c r="C22" t="s">
        <v>41</v>
      </c>
      <c r="D22" s="4">
        <v>20</v>
      </c>
      <c r="E22" s="4">
        <v>23</v>
      </c>
      <c r="F22" s="4">
        <v>50</v>
      </c>
      <c r="G22" s="4">
        <v>50</v>
      </c>
      <c r="H22" s="4">
        <v>0.5</v>
      </c>
      <c r="I22" s="4">
        <v>6</v>
      </c>
      <c r="J22" s="4">
        <v>16</v>
      </c>
      <c r="K22" s="4">
        <v>21.5</v>
      </c>
      <c r="L22" s="4">
        <v>3.5830000000000002</v>
      </c>
      <c r="M22" s="4">
        <v>0.623</v>
      </c>
    </row>
    <row r="23" spans="1:20" x14ac:dyDescent="0.2">
      <c r="A23" s="19"/>
      <c r="B23" s="19"/>
      <c r="C23" t="s">
        <v>42</v>
      </c>
      <c r="D23" s="4">
        <v>20</v>
      </c>
      <c r="E23" s="4">
        <v>23</v>
      </c>
      <c r="F23" s="4">
        <v>50</v>
      </c>
      <c r="G23" s="4">
        <v>50</v>
      </c>
      <c r="H23" s="4">
        <v>0.7</v>
      </c>
      <c r="I23" s="4">
        <v>6</v>
      </c>
      <c r="J23" s="4">
        <v>16</v>
      </c>
      <c r="K23" s="4">
        <v>22.1</v>
      </c>
      <c r="L23" s="4">
        <v>3.6829999999999998</v>
      </c>
      <c r="M23" s="4">
        <v>0.872</v>
      </c>
    </row>
    <row r="24" spans="1:20" x14ac:dyDescent="0.2">
      <c r="A24" s="19"/>
      <c r="B24" s="19"/>
      <c r="C24" t="s">
        <v>43</v>
      </c>
      <c r="D24" s="4">
        <v>20</v>
      </c>
      <c r="E24" s="4">
        <v>23</v>
      </c>
      <c r="F24" s="4">
        <v>50</v>
      </c>
      <c r="G24" s="4">
        <v>50</v>
      </c>
      <c r="H24" s="4">
        <v>0.3</v>
      </c>
      <c r="I24" s="4">
        <v>6</v>
      </c>
      <c r="J24" s="4">
        <v>20</v>
      </c>
      <c r="K24" s="4">
        <v>20.9</v>
      </c>
      <c r="L24" s="4">
        <v>3.4830000000000001</v>
      </c>
      <c r="M24" s="4">
        <v>0.374</v>
      </c>
    </row>
    <row r="25" spans="1:20" x14ac:dyDescent="0.2">
      <c r="A25" s="19"/>
      <c r="B25" s="19"/>
      <c r="C25" t="s">
        <v>44</v>
      </c>
      <c r="D25" s="4">
        <v>20</v>
      </c>
      <c r="E25" s="4">
        <v>23</v>
      </c>
      <c r="F25" s="4">
        <v>50</v>
      </c>
      <c r="G25" s="4">
        <v>50</v>
      </c>
      <c r="H25" s="4">
        <v>0.5</v>
      </c>
      <c r="I25" s="4">
        <v>6</v>
      </c>
      <c r="J25" s="4">
        <v>20</v>
      </c>
      <c r="K25" s="4">
        <v>21.5</v>
      </c>
      <c r="L25" s="4">
        <v>3.5830000000000002</v>
      </c>
      <c r="M25" s="4">
        <v>0.623</v>
      </c>
    </row>
    <row r="26" spans="1:20" x14ac:dyDescent="0.2">
      <c r="A26" s="19"/>
      <c r="B26" s="19"/>
      <c r="C26" t="s">
        <v>45</v>
      </c>
      <c r="D26" s="4">
        <v>20</v>
      </c>
      <c r="E26" s="4">
        <v>23</v>
      </c>
      <c r="F26" s="4">
        <v>50</v>
      </c>
      <c r="G26" s="4">
        <v>50</v>
      </c>
      <c r="H26" s="4">
        <v>0.7</v>
      </c>
      <c r="I26" s="4">
        <v>6</v>
      </c>
      <c r="J26" s="4">
        <v>20</v>
      </c>
      <c r="K26" s="4">
        <v>22.1</v>
      </c>
      <c r="L26" s="4">
        <v>3.6829999999999998</v>
      </c>
      <c r="M26" s="4">
        <v>0.872</v>
      </c>
    </row>
    <row r="27" spans="1:20" x14ac:dyDescent="0.2">
      <c r="A27" s="19"/>
      <c r="B27" s="19"/>
      <c r="C27" t="s">
        <v>46</v>
      </c>
      <c r="D27" s="4">
        <v>20</v>
      </c>
      <c r="E27" s="4">
        <v>23</v>
      </c>
      <c r="F27" s="4">
        <v>50</v>
      </c>
      <c r="G27" s="4">
        <v>50</v>
      </c>
      <c r="H27" s="4">
        <v>0.3</v>
      </c>
      <c r="I27" s="4">
        <v>6</v>
      </c>
      <c r="J27" s="4">
        <v>24</v>
      </c>
      <c r="K27" s="4" t="s">
        <v>47</v>
      </c>
    </row>
    <row r="28" spans="1:20" x14ac:dyDescent="0.2">
      <c r="A28" s="19"/>
      <c r="B28" s="19"/>
      <c r="C28" t="s">
        <v>48</v>
      </c>
      <c r="D28" s="4">
        <v>20</v>
      </c>
      <c r="E28" s="4">
        <v>23</v>
      </c>
      <c r="F28" s="4">
        <v>50</v>
      </c>
      <c r="G28" s="4">
        <v>50</v>
      </c>
      <c r="H28" s="4">
        <v>0.5</v>
      </c>
      <c r="I28" s="4">
        <v>6</v>
      </c>
      <c r="J28" s="4">
        <v>24</v>
      </c>
      <c r="K28" s="4">
        <v>21.5</v>
      </c>
      <c r="L28" s="4">
        <v>3.5830000000000002</v>
      </c>
      <c r="M28" s="4">
        <v>0.623</v>
      </c>
    </row>
    <row r="29" spans="1:20" x14ac:dyDescent="0.2">
      <c r="A29" s="19"/>
      <c r="B29" s="19"/>
      <c r="C29" t="s">
        <v>49</v>
      </c>
      <c r="D29" s="4">
        <v>20</v>
      </c>
      <c r="E29" s="4">
        <v>23</v>
      </c>
      <c r="F29" s="4">
        <v>50</v>
      </c>
      <c r="G29" s="4">
        <v>50</v>
      </c>
      <c r="H29" s="4">
        <v>0.7</v>
      </c>
      <c r="I29" s="4">
        <v>6</v>
      </c>
      <c r="J29" s="4">
        <v>24</v>
      </c>
      <c r="K29" s="4">
        <v>22.1</v>
      </c>
      <c r="L29" s="4">
        <v>3.6829999999999998</v>
      </c>
      <c r="M29" s="4">
        <v>0.872</v>
      </c>
    </row>
    <row r="30" spans="1:20" x14ac:dyDescent="0.2">
      <c r="A30" s="19"/>
      <c r="B30" s="19"/>
      <c r="C30" t="s">
        <v>50</v>
      </c>
      <c r="D30" s="4">
        <v>20</v>
      </c>
      <c r="E30" s="4">
        <v>23</v>
      </c>
      <c r="F30" s="4">
        <v>50</v>
      </c>
      <c r="G30" s="4">
        <v>50</v>
      </c>
      <c r="H30" s="4">
        <v>0.3</v>
      </c>
      <c r="I30" s="4">
        <v>8</v>
      </c>
      <c r="J30" s="4">
        <v>16</v>
      </c>
      <c r="K30" s="4">
        <v>20.9</v>
      </c>
      <c r="L30" s="4">
        <v>2.613</v>
      </c>
      <c r="M30" s="4">
        <v>0.374</v>
      </c>
    </row>
    <row r="31" spans="1:20" x14ac:dyDescent="0.2">
      <c r="A31" s="19"/>
      <c r="B31" s="19"/>
      <c r="C31" t="s">
        <v>51</v>
      </c>
      <c r="D31" s="4">
        <v>20</v>
      </c>
      <c r="E31" s="4">
        <v>23</v>
      </c>
      <c r="F31" s="4">
        <v>50</v>
      </c>
      <c r="G31" s="4">
        <v>50</v>
      </c>
      <c r="H31" s="4">
        <v>0.5</v>
      </c>
      <c r="I31" s="4">
        <v>8</v>
      </c>
      <c r="J31" s="4">
        <v>16</v>
      </c>
      <c r="K31" s="4" t="s">
        <v>47</v>
      </c>
    </row>
    <row r="32" spans="1:20" x14ac:dyDescent="0.2">
      <c r="A32" s="19"/>
      <c r="B32" s="19"/>
      <c r="C32" t="s">
        <v>52</v>
      </c>
      <c r="D32" s="4">
        <v>20</v>
      </c>
      <c r="E32" s="4">
        <v>23</v>
      </c>
      <c r="F32" s="4">
        <v>50</v>
      </c>
      <c r="G32" s="4">
        <v>50</v>
      </c>
      <c r="H32" s="4">
        <v>0.7</v>
      </c>
      <c r="I32" s="4">
        <v>8</v>
      </c>
      <c r="J32" s="4">
        <v>16</v>
      </c>
      <c r="K32" s="4" t="s">
        <v>47</v>
      </c>
    </row>
    <row r="33" spans="1:13" x14ac:dyDescent="0.2">
      <c r="A33" s="19"/>
      <c r="B33" s="19"/>
      <c r="C33" t="s">
        <v>53</v>
      </c>
      <c r="D33" s="4">
        <v>20</v>
      </c>
      <c r="E33" s="4">
        <v>23</v>
      </c>
      <c r="F33" s="4">
        <v>50</v>
      </c>
      <c r="G33" s="4">
        <v>50</v>
      </c>
      <c r="H33" s="4">
        <v>0.3</v>
      </c>
      <c r="I33" s="4">
        <v>8</v>
      </c>
      <c r="J33" s="4">
        <v>20</v>
      </c>
      <c r="K33" s="4">
        <v>20.9</v>
      </c>
      <c r="L33" s="4">
        <v>2.613</v>
      </c>
      <c r="M33" s="4">
        <v>0.374</v>
      </c>
    </row>
    <row r="34" spans="1:13" x14ac:dyDescent="0.2">
      <c r="A34" s="19"/>
      <c r="B34" s="19"/>
      <c r="C34" t="s">
        <v>54</v>
      </c>
      <c r="D34" s="4">
        <v>20</v>
      </c>
      <c r="E34" s="4">
        <v>23</v>
      </c>
      <c r="F34" s="4">
        <v>50</v>
      </c>
      <c r="G34" s="4">
        <v>50</v>
      </c>
      <c r="H34" s="4">
        <v>0.5</v>
      </c>
      <c r="I34" s="4">
        <v>8</v>
      </c>
      <c r="J34" s="4">
        <v>20</v>
      </c>
      <c r="K34" s="4">
        <v>21.5</v>
      </c>
      <c r="L34" s="4">
        <v>2.6880000000000002</v>
      </c>
      <c r="M34" s="4">
        <v>0.623</v>
      </c>
    </row>
    <row r="35" spans="1:13" x14ac:dyDescent="0.2">
      <c r="A35" s="19"/>
      <c r="B35" s="19"/>
      <c r="C35" t="s">
        <v>55</v>
      </c>
      <c r="D35" s="4">
        <v>20</v>
      </c>
      <c r="E35" s="4">
        <v>23</v>
      </c>
      <c r="F35" s="4">
        <v>50</v>
      </c>
      <c r="G35" s="4">
        <v>50</v>
      </c>
      <c r="H35" s="4">
        <v>0.7</v>
      </c>
      <c r="I35" s="4">
        <v>8</v>
      </c>
      <c r="J35" s="4">
        <v>20</v>
      </c>
      <c r="K35" s="4">
        <v>22.1</v>
      </c>
      <c r="L35" s="4">
        <v>2.7629999999999999</v>
      </c>
      <c r="M35" s="4">
        <v>0.872</v>
      </c>
    </row>
    <row r="36" spans="1:13" x14ac:dyDescent="0.2">
      <c r="A36" s="19"/>
      <c r="B36" s="19"/>
      <c r="C36" t="s">
        <v>56</v>
      </c>
      <c r="D36" s="4">
        <v>20</v>
      </c>
      <c r="E36" s="4">
        <v>23</v>
      </c>
      <c r="F36" s="4">
        <v>50</v>
      </c>
      <c r="G36" s="4">
        <v>50</v>
      </c>
      <c r="H36" s="4">
        <v>0.3</v>
      </c>
      <c r="I36" s="4">
        <v>8</v>
      </c>
      <c r="J36" s="4">
        <v>24</v>
      </c>
      <c r="K36" s="4">
        <v>20.9</v>
      </c>
      <c r="L36" s="4">
        <v>2.613</v>
      </c>
      <c r="M36" s="4">
        <v>0.374</v>
      </c>
    </row>
    <row r="37" spans="1:13" x14ac:dyDescent="0.2">
      <c r="A37" s="19"/>
      <c r="B37" s="19"/>
      <c r="C37" t="s">
        <v>57</v>
      </c>
      <c r="D37" s="4">
        <v>20</v>
      </c>
      <c r="E37" s="4">
        <v>23</v>
      </c>
      <c r="F37" s="4">
        <v>50</v>
      </c>
      <c r="G37" s="4">
        <v>50</v>
      </c>
      <c r="H37" s="4">
        <v>0.5</v>
      </c>
      <c r="I37" s="4">
        <v>8</v>
      </c>
      <c r="J37" s="4">
        <v>24</v>
      </c>
      <c r="K37" s="4">
        <v>21.5</v>
      </c>
      <c r="L37" s="4">
        <v>2.6880000000000002</v>
      </c>
      <c r="M37" s="4">
        <v>0.623</v>
      </c>
    </row>
    <row r="38" spans="1:13" x14ac:dyDescent="0.2">
      <c r="A38" s="19"/>
      <c r="B38" s="19"/>
      <c r="C38" t="s">
        <v>58</v>
      </c>
      <c r="D38" s="4">
        <v>20</v>
      </c>
      <c r="E38" s="4">
        <v>23</v>
      </c>
      <c r="F38" s="4">
        <v>50</v>
      </c>
      <c r="G38" s="4">
        <v>50</v>
      </c>
      <c r="H38" s="4">
        <v>0.7</v>
      </c>
      <c r="I38" s="4">
        <v>8</v>
      </c>
      <c r="J38" s="4">
        <v>24</v>
      </c>
      <c r="K38" s="4">
        <v>22.1</v>
      </c>
      <c r="L38" s="4">
        <v>2.7629999999999999</v>
      </c>
      <c r="M38" s="4">
        <v>0.872</v>
      </c>
    </row>
    <row r="40" spans="1:13" x14ac:dyDescent="0.2">
      <c r="A40" s="19">
        <v>251224</v>
      </c>
      <c r="B40" s="19" t="s">
        <v>23</v>
      </c>
      <c r="C40" t="s">
        <v>59</v>
      </c>
      <c r="D40" s="4">
        <v>12</v>
      </c>
      <c r="E40" s="4">
        <v>20</v>
      </c>
      <c r="F40" s="4">
        <v>35</v>
      </c>
      <c r="G40" s="4">
        <v>35</v>
      </c>
      <c r="H40" s="4">
        <v>0.5</v>
      </c>
      <c r="I40" s="4">
        <v>4</v>
      </c>
      <c r="J40" s="4">
        <v>16</v>
      </c>
      <c r="K40" s="4">
        <v>13.5</v>
      </c>
      <c r="L40" s="4">
        <v>3.375</v>
      </c>
      <c r="M40" s="4">
        <v>0.71599999999999997</v>
      </c>
    </row>
    <row r="41" spans="1:13" x14ac:dyDescent="0.2">
      <c r="A41" s="19"/>
      <c r="B41" s="19"/>
      <c r="C41" t="s">
        <v>60</v>
      </c>
      <c r="D41" s="4">
        <v>12</v>
      </c>
      <c r="E41" s="4">
        <v>20</v>
      </c>
      <c r="F41" s="4">
        <v>35</v>
      </c>
      <c r="G41" s="4">
        <v>35</v>
      </c>
      <c r="H41" s="4">
        <v>0.5</v>
      </c>
      <c r="I41" s="4">
        <v>6</v>
      </c>
      <c r="J41" s="4">
        <v>16</v>
      </c>
      <c r="K41" s="4" t="s">
        <v>47</v>
      </c>
    </row>
    <row r="42" spans="1:13" x14ac:dyDescent="0.2">
      <c r="A42" s="19"/>
      <c r="B42" s="19"/>
      <c r="C42" t="s">
        <v>61</v>
      </c>
      <c r="D42" s="4">
        <v>12</v>
      </c>
      <c r="E42" s="4">
        <v>20</v>
      </c>
      <c r="F42" s="4">
        <v>35</v>
      </c>
      <c r="G42" s="4">
        <v>35</v>
      </c>
      <c r="H42" s="4">
        <v>0.5</v>
      </c>
      <c r="I42" s="4">
        <v>6</v>
      </c>
      <c r="J42" s="4">
        <v>20</v>
      </c>
      <c r="K42" s="4" t="s">
        <v>62</v>
      </c>
    </row>
    <row r="43" spans="1:13" x14ac:dyDescent="0.2">
      <c r="A43" s="19"/>
      <c r="B43" s="19"/>
      <c r="C43" t="s">
        <v>63</v>
      </c>
      <c r="D43" s="4">
        <v>12</v>
      </c>
      <c r="E43" s="4">
        <v>20</v>
      </c>
      <c r="F43" s="4">
        <v>35</v>
      </c>
      <c r="G43" s="4">
        <v>35</v>
      </c>
      <c r="H43" s="4">
        <v>0.5</v>
      </c>
      <c r="I43" s="4">
        <v>6</v>
      </c>
      <c r="J43" s="4">
        <v>24</v>
      </c>
      <c r="K43" s="4">
        <v>13.5</v>
      </c>
      <c r="L43" s="4">
        <v>2.25</v>
      </c>
      <c r="M43" s="4">
        <v>0.71599999999999997</v>
      </c>
    </row>
    <row r="44" spans="1:13" x14ac:dyDescent="0.2">
      <c r="A44" s="19"/>
      <c r="B44" s="19"/>
      <c r="C44" t="s">
        <v>64</v>
      </c>
      <c r="D44" s="4">
        <v>12</v>
      </c>
      <c r="E44" s="4">
        <v>20</v>
      </c>
      <c r="F44" s="4">
        <v>35</v>
      </c>
      <c r="G44" s="4">
        <v>35</v>
      </c>
      <c r="H44" s="4">
        <v>0.5</v>
      </c>
      <c r="I44" s="4">
        <v>8</v>
      </c>
      <c r="J44" s="4">
        <v>16</v>
      </c>
      <c r="K44" s="4" t="s">
        <v>65</v>
      </c>
    </row>
    <row r="45" spans="1:13" x14ac:dyDescent="0.2">
      <c r="A45" s="19"/>
      <c r="B45" s="19"/>
      <c r="C45" t="s">
        <v>66</v>
      </c>
      <c r="D45" s="4">
        <v>12</v>
      </c>
      <c r="E45" s="4">
        <v>20</v>
      </c>
      <c r="F45" s="4">
        <v>35</v>
      </c>
      <c r="G45" s="4">
        <v>35</v>
      </c>
      <c r="H45" s="4">
        <v>0.5</v>
      </c>
      <c r="I45" s="4">
        <v>8</v>
      </c>
      <c r="J45" s="4">
        <v>20</v>
      </c>
      <c r="K45" s="4" t="s">
        <v>65</v>
      </c>
    </row>
    <row r="46" spans="1:13" x14ac:dyDescent="0.2">
      <c r="A46" s="19"/>
      <c r="B46" s="19"/>
      <c r="C46" t="s">
        <v>67</v>
      </c>
      <c r="D46" s="4">
        <v>12</v>
      </c>
      <c r="E46" s="4">
        <v>20</v>
      </c>
      <c r="F46" s="4">
        <v>35</v>
      </c>
      <c r="G46" s="4">
        <v>35</v>
      </c>
      <c r="H46" s="4">
        <v>0.5</v>
      </c>
      <c r="I46" s="4">
        <v>8</v>
      </c>
      <c r="J46" s="4">
        <v>24</v>
      </c>
      <c r="K46" s="4" t="s">
        <v>65</v>
      </c>
    </row>
    <row r="47" spans="1:13" x14ac:dyDescent="0.2">
      <c r="A47" s="19"/>
      <c r="B47" s="19"/>
      <c r="C47" t="s">
        <v>68</v>
      </c>
      <c r="D47" s="4">
        <v>12</v>
      </c>
      <c r="E47" s="4">
        <v>20</v>
      </c>
      <c r="F47" s="4">
        <v>35</v>
      </c>
      <c r="G47" s="4">
        <v>35</v>
      </c>
      <c r="H47" s="4">
        <v>0.5</v>
      </c>
      <c r="I47" s="4">
        <v>8</v>
      </c>
      <c r="J47" s="4">
        <v>32</v>
      </c>
      <c r="K47" s="4">
        <v>13.5</v>
      </c>
      <c r="L47" s="4">
        <v>1.6879999999999999</v>
      </c>
      <c r="M47" s="4">
        <v>0.71599999999999997</v>
      </c>
    </row>
    <row r="48" spans="1:13" x14ac:dyDescent="0.2">
      <c r="A48" s="19"/>
      <c r="B48" s="19"/>
      <c r="C48" t="s">
        <v>69</v>
      </c>
      <c r="D48" s="4">
        <v>12</v>
      </c>
      <c r="E48" s="4">
        <v>20</v>
      </c>
      <c r="F48" s="4">
        <v>35</v>
      </c>
      <c r="G48" s="4">
        <v>35</v>
      </c>
      <c r="H48" s="4">
        <v>0.5</v>
      </c>
      <c r="I48" s="4">
        <v>12</v>
      </c>
      <c r="J48" s="4">
        <v>40</v>
      </c>
      <c r="K48" s="4" t="s">
        <v>47</v>
      </c>
    </row>
    <row r="49" spans="1:20" x14ac:dyDescent="0.2">
      <c r="S49" s="8" t="s">
        <v>70</v>
      </c>
      <c r="T49" s="8" t="s">
        <v>71</v>
      </c>
    </row>
    <row r="50" spans="1:20" x14ac:dyDescent="0.2">
      <c r="A50" s="19">
        <v>260105</v>
      </c>
      <c r="B50" s="19" t="s">
        <v>23</v>
      </c>
      <c r="C50" t="s">
        <v>72</v>
      </c>
      <c r="D50" s="4">
        <v>12</v>
      </c>
      <c r="E50" s="4">
        <v>20</v>
      </c>
      <c r="F50" s="4">
        <v>35</v>
      </c>
      <c r="G50" s="4">
        <v>35</v>
      </c>
      <c r="H50" s="4">
        <v>0.3</v>
      </c>
      <c r="I50" s="4">
        <v>4</v>
      </c>
      <c r="J50" s="4">
        <v>16</v>
      </c>
      <c r="K50" s="4">
        <v>12.6</v>
      </c>
      <c r="L50" s="4">
        <v>3.15</v>
      </c>
      <c r="M50" s="4">
        <v>0.43</v>
      </c>
      <c r="N50" s="15">
        <v>1</v>
      </c>
      <c r="O50" s="15">
        <v>-1</v>
      </c>
      <c r="P50" s="15" t="s">
        <v>73</v>
      </c>
      <c r="Q50" s="17">
        <v>-4.3139E-7</v>
      </c>
      <c r="R50" s="12">
        <v>0.79486999999999997</v>
      </c>
      <c r="S50" s="11">
        <v>0.10267999999999999</v>
      </c>
      <c r="T50" s="11">
        <v>-0.10580000000000001</v>
      </c>
    </row>
    <row r="51" spans="1:20" x14ac:dyDescent="0.2">
      <c r="A51" s="19"/>
      <c r="B51" s="19"/>
      <c r="C51" t="s">
        <v>74</v>
      </c>
      <c r="D51" s="4">
        <v>12</v>
      </c>
      <c r="E51" s="4">
        <v>20</v>
      </c>
      <c r="F51" s="4">
        <v>35</v>
      </c>
      <c r="G51" s="4">
        <v>35</v>
      </c>
      <c r="H51" s="4">
        <v>0.3</v>
      </c>
      <c r="I51" s="4">
        <v>6</v>
      </c>
      <c r="J51" s="4">
        <v>20</v>
      </c>
      <c r="K51" s="4">
        <v>12.6</v>
      </c>
      <c r="L51" s="4">
        <v>2.1</v>
      </c>
      <c r="M51" s="4">
        <v>0.43</v>
      </c>
      <c r="N51" s="15">
        <v>1</v>
      </c>
      <c r="O51" s="15">
        <v>-1</v>
      </c>
      <c r="P51" s="15" t="s">
        <v>73</v>
      </c>
      <c r="Q51" s="18">
        <v>-1.1048E-6</v>
      </c>
      <c r="R51" s="8">
        <v>0.72062000000000004</v>
      </c>
      <c r="S51" s="8">
        <v>0.49171999999999999</v>
      </c>
      <c r="T51" s="8">
        <v>-0.49414000000000002</v>
      </c>
    </row>
    <row r="52" spans="1:20" x14ac:dyDescent="0.2">
      <c r="A52" s="19"/>
      <c r="B52" s="19"/>
      <c r="C52" t="s">
        <v>75</v>
      </c>
      <c r="D52" s="4">
        <v>12</v>
      </c>
      <c r="E52" s="4">
        <v>20</v>
      </c>
      <c r="F52" s="4">
        <v>35</v>
      </c>
      <c r="G52" s="4">
        <v>35</v>
      </c>
      <c r="H52" s="4">
        <v>0.3</v>
      </c>
      <c r="I52" s="4">
        <v>6</v>
      </c>
      <c r="J52" s="4">
        <v>24</v>
      </c>
      <c r="K52" s="4">
        <v>12.6</v>
      </c>
      <c r="L52" s="4">
        <v>2.1</v>
      </c>
      <c r="M52" s="4">
        <v>0.43</v>
      </c>
      <c r="N52" s="15">
        <v>1</v>
      </c>
      <c r="O52" s="15">
        <v>-1</v>
      </c>
      <c r="P52" s="15" t="s">
        <v>73</v>
      </c>
      <c r="Q52" s="18">
        <v>-1.2242000000000001E-6</v>
      </c>
      <c r="R52" s="8">
        <v>0.73641999999999996</v>
      </c>
      <c r="S52" s="8">
        <v>0.56621999999999995</v>
      </c>
      <c r="T52" s="8">
        <v>-0.56259000000000003</v>
      </c>
    </row>
    <row r="53" spans="1:20" x14ac:dyDescent="0.2">
      <c r="A53" s="19"/>
      <c r="B53" s="19"/>
      <c r="C53" t="s">
        <v>76</v>
      </c>
      <c r="D53" s="4">
        <v>12</v>
      </c>
      <c r="E53" s="4">
        <v>20</v>
      </c>
      <c r="F53" s="4">
        <v>35</v>
      </c>
      <c r="G53" s="4">
        <v>35</v>
      </c>
      <c r="H53" s="4">
        <v>0.3</v>
      </c>
      <c r="I53" s="4">
        <v>6</v>
      </c>
      <c r="J53" s="4">
        <v>32</v>
      </c>
      <c r="K53" s="4">
        <v>12.6</v>
      </c>
      <c r="L53" s="4">
        <v>2.1</v>
      </c>
      <c r="M53" s="4">
        <v>0.43</v>
      </c>
      <c r="N53" s="15">
        <v>1</v>
      </c>
      <c r="O53" s="15">
        <v>-1</v>
      </c>
      <c r="P53" s="15" t="s">
        <v>73</v>
      </c>
      <c r="Q53" s="18">
        <v>-1.48E-6</v>
      </c>
      <c r="R53" s="8">
        <v>0.75344</v>
      </c>
      <c r="S53" s="8">
        <v>0.60229999999999995</v>
      </c>
      <c r="T53" s="8">
        <v>-0.60594999999999999</v>
      </c>
    </row>
    <row r="54" spans="1:20" x14ac:dyDescent="0.2">
      <c r="A54" s="19"/>
      <c r="B54" s="19"/>
      <c r="C54" t="s">
        <v>77</v>
      </c>
      <c r="D54" s="4">
        <v>12</v>
      </c>
      <c r="E54" s="4">
        <v>20</v>
      </c>
      <c r="F54" s="4">
        <v>35</v>
      </c>
      <c r="G54" s="4">
        <v>35</v>
      </c>
      <c r="H54" s="4">
        <v>0.3</v>
      </c>
      <c r="I54" s="4">
        <v>6</v>
      </c>
      <c r="J54" s="4">
        <v>40</v>
      </c>
      <c r="K54" s="4">
        <v>12.6</v>
      </c>
      <c r="L54" s="4">
        <v>2.1</v>
      </c>
      <c r="M54" s="4">
        <v>0.43</v>
      </c>
      <c r="N54" s="15">
        <v>1</v>
      </c>
      <c r="O54" s="15">
        <v>-1</v>
      </c>
      <c r="P54" s="15" t="s">
        <v>73</v>
      </c>
      <c r="Q54" s="18">
        <v>-1.4463E-6</v>
      </c>
      <c r="R54" s="8">
        <v>0.76239999999999997</v>
      </c>
      <c r="S54" s="8">
        <v>0.5252</v>
      </c>
      <c r="T54" s="8">
        <v>-0.52659</v>
      </c>
    </row>
    <row r="55" spans="1:20" x14ac:dyDescent="0.2">
      <c r="A55" s="19"/>
      <c r="B55" s="19"/>
      <c r="C55" t="s">
        <v>78</v>
      </c>
      <c r="D55" s="4">
        <v>12</v>
      </c>
      <c r="E55" s="4">
        <v>20</v>
      </c>
      <c r="F55" s="4">
        <v>35</v>
      </c>
      <c r="G55" s="4">
        <v>35</v>
      </c>
      <c r="H55" s="4">
        <v>0.3</v>
      </c>
      <c r="I55" s="4">
        <v>8</v>
      </c>
      <c r="J55" s="4">
        <v>24</v>
      </c>
      <c r="K55" s="4">
        <v>12.6</v>
      </c>
      <c r="L55" s="4">
        <v>1.575</v>
      </c>
      <c r="M55" s="4">
        <v>0.43</v>
      </c>
      <c r="N55" s="15">
        <v>1</v>
      </c>
      <c r="O55" s="15">
        <v>-1</v>
      </c>
      <c r="P55" s="15" t="s">
        <v>73</v>
      </c>
      <c r="Q55" s="17">
        <v>-1.5896E-6</v>
      </c>
      <c r="R55" s="12">
        <v>0.74826999999999999</v>
      </c>
      <c r="S55" s="12">
        <v>0.73168999999999995</v>
      </c>
      <c r="T55" s="12">
        <v>-0.72753999999999996</v>
      </c>
    </row>
    <row r="56" spans="1:20" x14ac:dyDescent="0.2">
      <c r="A56" s="19"/>
      <c r="B56" s="19"/>
      <c r="C56" t="s">
        <v>79</v>
      </c>
      <c r="D56" s="4">
        <v>12</v>
      </c>
      <c r="E56" s="4">
        <v>20</v>
      </c>
      <c r="F56" s="4">
        <v>35</v>
      </c>
      <c r="G56" s="4">
        <v>35</v>
      </c>
      <c r="H56" s="4">
        <v>0.3</v>
      </c>
      <c r="I56" s="4">
        <v>8</v>
      </c>
      <c r="J56" s="4">
        <v>32</v>
      </c>
      <c r="K56" s="4">
        <v>12.6</v>
      </c>
      <c r="L56" s="4">
        <v>1.575</v>
      </c>
      <c r="M56" s="4">
        <v>0.43</v>
      </c>
      <c r="N56" s="15">
        <v>1</v>
      </c>
      <c r="O56" s="15">
        <v>-1</v>
      </c>
      <c r="P56" s="15" t="s">
        <v>73</v>
      </c>
      <c r="Q56" s="17">
        <v>-2.0857000000000002E-6</v>
      </c>
      <c r="R56" s="12">
        <v>0.76178000000000001</v>
      </c>
      <c r="S56" s="12">
        <v>0.88707000000000003</v>
      </c>
      <c r="T56" s="12">
        <v>-0.87785000000000002</v>
      </c>
    </row>
    <row r="57" spans="1:20" x14ac:dyDescent="0.2">
      <c r="A57" s="19"/>
      <c r="B57" s="19"/>
      <c r="C57" t="s">
        <v>80</v>
      </c>
      <c r="D57" s="4">
        <v>12</v>
      </c>
      <c r="E57" s="4">
        <v>20</v>
      </c>
      <c r="F57" s="4">
        <v>35</v>
      </c>
      <c r="G57" s="4">
        <v>35</v>
      </c>
      <c r="H57" s="4">
        <v>0.3</v>
      </c>
      <c r="I57" s="4">
        <v>8</v>
      </c>
      <c r="J57" s="4">
        <v>40</v>
      </c>
      <c r="K57" s="4">
        <v>12.6</v>
      </c>
      <c r="L57" s="4">
        <v>1.575</v>
      </c>
      <c r="M57" s="4">
        <v>0.43</v>
      </c>
      <c r="N57" s="15">
        <v>1</v>
      </c>
      <c r="O57" s="15">
        <v>-1</v>
      </c>
      <c r="P57" s="15" t="s">
        <v>73</v>
      </c>
      <c r="Q57" s="17">
        <v>-2.6015E-6</v>
      </c>
      <c r="R57" s="12">
        <v>0.77015999999999996</v>
      </c>
      <c r="S57" s="12">
        <v>0.93398000000000003</v>
      </c>
      <c r="T57" s="12">
        <v>-0.94527000000000005</v>
      </c>
    </row>
    <row r="58" spans="1:20" x14ac:dyDescent="0.2">
      <c r="A58" s="19"/>
      <c r="B58" s="19"/>
      <c r="C58" t="s">
        <v>81</v>
      </c>
      <c r="D58" s="4">
        <v>12</v>
      </c>
      <c r="E58" s="4">
        <v>20</v>
      </c>
      <c r="F58" s="4">
        <v>35</v>
      </c>
      <c r="G58" s="4">
        <v>35</v>
      </c>
      <c r="H58" s="4">
        <v>0.2</v>
      </c>
      <c r="I58" s="4">
        <v>12</v>
      </c>
      <c r="J58" s="4">
        <v>40</v>
      </c>
      <c r="K58" s="4">
        <v>12.4</v>
      </c>
      <c r="L58" s="4">
        <v>1.0329999999999999</v>
      </c>
      <c r="M58" s="4">
        <v>0.28599999999999998</v>
      </c>
      <c r="N58" s="15">
        <v>1</v>
      </c>
      <c r="O58" s="15">
        <v>-1</v>
      </c>
      <c r="P58" s="15" t="s">
        <v>73</v>
      </c>
      <c r="Q58" s="18">
        <v>-8.2142999999999996E-7</v>
      </c>
      <c r="R58" s="8">
        <v>0.78942999999999997</v>
      </c>
      <c r="S58" s="8">
        <v>1.3744000000000001</v>
      </c>
      <c r="T58" s="8">
        <v>-1.3627</v>
      </c>
    </row>
    <row r="62" spans="1:20" ht="20" x14ac:dyDescent="0.2">
      <c r="I62" s="16"/>
    </row>
  </sheetData>
  <mergeCells count="13">
    <mergeCell ref="B50:B58"/>
    <mergeCell ref="A50:A58"/>
    <mergeCell ref="Q1:S1"/>
    <mergeCell ref="N1:O1"/>
    <mergeCell ref="A3:A11"/>
    <mergeCell ref="B3:B11"/>
    <mergeCell ref="D1:M1"/>
    <mergeCell ref="A40:A48"/>
    <mergeCell ref="B40:B48"/>
    <mergeCell ref="B21:B38"/>
    <mergeCell ref="A21:A38"/>
    <mergeCell ref="A12:A19"/>
    <mergeCell ref="B12:B19"/>
  </mergeCells>
  <phoneticPr fontId="2" type="noConversion"/>
  <pageMargins left="0.7" right="0.7" top="0.75" bottom="0.75" header="0.3" footer="0.3"/>
  <pageSetup orientation="portrait" horizontalDpi="0" verticalDpi="0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8D7B1-C53A-A94A-9C1A-8BFF4933368D}">
  <dimension ref="A1:T10"/>
  <sheetViews>
    <sheetView tabSelected="1" workbookViewId="0">
      <selection activeCell="H30" sqref="H30"/>
    </sheetView>
  </sheetViews>
  <sheetFormatPr baseColWidth="10" defaultRowHeight="15" x14ac:dyDescent="0.2"/>
  <sheetData>
    <row r="1" spans="1:20" x14ac:dyDescent="0.2">
      <c r="A1" s="1" t="s">
        <v>3</v>
      </c>
      <c r="B1" s="1" t="s">
        <v>4</v>
      </c>
      <c r="C1" s="1" t="s">
        <v>5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10</v>
      </c>
      <c r="I1" s="3" t="s">
        <v>11</v>
      </c>
      <c r="J1" s="3" t="s">
        <v>12</v>
      </c>
      <c r="K1" s="3" t="s">
        <v>13</v>
      </c>
      <c r="L1" s="3" t="s">
        <v>14</v>
      </c>
      <c r="M1" s="3" t="s">
        <v>15</v>
      </c>
      <c r="N1" s="14" t="s">
        <v>16</v>
      </c>
      <c r="O1" s="14" t="s">
        <v>17</v>
      </c>
      <c r="P1" s="14" t="s">
        <v>18</v>
      </c>
      <c r="Q1" s="6" t="s">
        <v>19</v>
      </c>
      <c r="R1" s="6" t="s">
        <v>20</v>
      </c>
      <c r="S1" s="6" t="s">
        <v>21</v>
      </c>
      <c r="T1" s="6" t="s">
        <v>22</v>
      </c>
    </row>
    <row r="2" spans="1:20" x14ac:dyDescent="0.2">
      <c r="A2" s="19">
        <v>260105</v>
      </c>
      <c r="B2" s="19" t="s">
        <v>23</v>
      </c>
      <c r="C2" t="s">
        <v>72</v>
      </c>
      <c r="D2" s="4">
        <v>12</v>
      </c>
      <c r="E2" s="4">
        <v>20</v>
      </c>
      <c r="F2" s="4">
        <v>35</v>
      </c>
      <c r="G2" s="4">
        <v>35</v>
      </c>
      <c r="H2" s="4">
        <v>0.3</v>
      </c>
      <c r="I2" s="4">
        <v>4</v>
      </c>
      <c r="J2" s="4">
        <v>16</v>
      </c>
      <c r="K2" s="4">
        <v>12.6</v>
      </c>
      <c r="L2" s="4">
        <v>3.15</v>
      </c>
      <c r="M2" s="4">
        <v>0.43</v>
      </c>
      <c r="N2" s="15">
        <v>1</v>
      </c>
      <c r="O2" s="15">
        <v>-1</v>
      </c>
      <c r="P2" s="15" t="s">
        <v>73</v>
      </c>
      <c r="Q2" s="17">
        <v>-4.3139E-7</v>
      </c>
      <c r="R2" s="12">
        <v>0.79486999999999997</v>
      </c>
      <c r="S2" s="11">
        <v>0.10267999999999999</v>
      </c>
      <c r="T2" s="11">
        <v>-0.10580000000000001</v>
      </c>
    </row>
    <row r="3" spans="1:20" x14ac:dyDescent="0.2">
      <c r="A3" s="19"/>
      <c r="B3" s="19"/>
      <c r="C3" t="s">
        <v>74</v>
      </c>
      <c r="D3" s="4">
        <v>12</v>
      </c>
      <c r="E3" s="4">
        <v>20</v>
      </c>
      <c r="F3" s="4">
        <v>35</v>
      </c>
      <c r="G3" s="4">
        <v>35</v>
      </c>
      <c r="H3" s="4">
        <v>0.3</v>
      </c>
      <c r="I3" s="4">
        <v>6</v>
      </c>
      <c r="J3" s="4">
        <v>20</v>
      </c>
      <c r="K3" s="4">
        <v>12.6</v>
      </c>
      <c r="L3" s="4">
        <v>2.1</v>
      </c>
      <c r="M3" s="4">
        <v>0.43</v>
      </c>
      <c r="N3" s="15">
        <v>1</v>
      </c>
      <c r="O3" s="15">
        <v>-1</v>
      </c>
      <c r="P3" s="15" t="s">
        <v>73</v>
      </c>
      <c r="Q3" s="18">
        <v>-1.1048E-6</v>
      </c>
      <c r="R3" s="8">
        <v>0.72062000000000004</v>
      </c>
      <c r="S3" s="8">
        <v>0.49171999999999999</v>
      </c>
      <c r="T3" s="8">
        <v>-0.49414000000000002</v>
      </c>
    </row>
    <row r="4" spans="1:20" x14ac:dyDescent="0.2">
      <c r="A4" s="19"/>
      <c r="B4" s="19"/>
      <c r="C4" t="s">
        <v>75</v>
      </c>
      <c r="D4" s="4">
        <v>12</v>
      </c>
      <c r="E4" s="4">
        <v>20</v>
      </c>
      <c r="F4" s="4">
        <v>35</v>
      </c>
      <c r="G4" s="4">
        <v>35</v>
      </c>
      <c r="H4" s="4">
        <v>0.3</v>
      </c>
      <c r="I4" s="4">
        <v>6</v>
      </c>
      <c r="J4" s="4">
        <v>24</v>
      </c>
      <c r="K4" s="4">
        <v>12.6</v>
      </c>
      <c r="L4" s="4">
        <v>2.1</v>
      </c>
      <c r="M4" s="4">
        <v>0.43</v>
      </c>
      <c r="N4" s="15">
        <v>1</v>
      </c>
      <c r="O4" s="15">
        <v>-1</v>
      </c>
      <c r="P4" s="15" t="s">
        <v>73</v>
      </c>
      <c r="Q4" s="18">
        <v>-1.2242000000000001E-6</v>
      </c>
      <c r="R4" s="8">
        <v>0.73641999999999996</v>
      </c>
      <c r="S4" s="8">
        <v>0.56621999999999995</v>
      </c>
      <c r="T4" s="8">
        <v>-0.56259000000000003</v>
      </c>
    </row>
    <row r="5" spans="1:20" x14ac:dyDescent="0.2">
      <c r="A5" s="19"/>
      <c r="B5" s="19"/>
      <c r="C5" t="s">
        <v>76</v>
      </c>
      <c r="D5" s="4">
        <v>12</v>
      </c>
      <c r="E5" s="4">
        <v>20</v>
      </c>
      <c r="F5" s="4">
        <v>35</v>
      </c>
      <c r="G5" s="4">
        <v>35</v>
      </c>
      <c r="H5" s="4">
        <v>0.3</v>
      </c>
      <c r="I5" s="4">
        <v>6</v>
      </c>
      <c r="J5" s="4">
        <v>32</v>
      </c>
      <c r="K5" s="4">
        <v>12.6</v>
      </c>
      <c r="L5" s="4">
        <v>2.1</v>
      </c>
      <c r="M5" s="4">
        <v>0.43</v>
      </c>
      <c r="N5" s="15">
        <v>1</v>
      </c>
      <c r="O5" s="15">
        <v>-1</v>
      </c>
      <c r="P5" s="15" t="s">
        <v>73</v>
      </c>
      <c r="Q5" s="18">
        <v>-1.48E-6</v>
      </c>
      <c r="R5" s="8">
        <v>0.75344</v>
      </c>
      <c r="S5" s="8">
        <v>0.60229999999999995</v>
      </c>
      <c r="T5" s="8">
        <v>-0.60594999999999999</v>
      </c>
    </row>
    <row r="6" spans="1:20" x14ac:dyDescent="0.2">
      <c r="A6" s="19"/>
      <c r="B6" s="19"/>
      <c r="C6" t="s">
        <v>77</v>
      </c>
      <c r="D6" s="4">
        <v>12</v>
      </c>
      <c r="E6" s="4">
        <v>20</v>
      </c>
      <c r="F6" s="4">
        <v>35</v>
      </c>
      <c r="G6" s="4">
        <v>35</v>
      </c>
      <c r="H6" s="4">
        <v>0.3</v>
      </c>
      <c r="I6" s="4">
        <v>6</v>
      </c>
      <c r="J6" s="4">
        <v>40</v>
      </c>
      <c r="K6" s="4">
        <v>12.6</v>
      </c>
      <c r="L6" s="4">
        <v>2.1</v>
      </c>
      <c r="M6" s="4">
        <v>0.43</v>
      </c>
      <c r="N6" s="15">
        <v>1</v>
      </c>
      <c r="O6" s="15">
        <v>-1</v>
      </c>
      <c r="P6" s="15" t="s">
        <v>73</v>
      </c>
      <c r="Q6" s="18">
        <v>-1.4463E-6</v>
      </c>
      <c r="R6" s="8">
        <v>0.76239999999999997</v>
      </c>
      <c r="S6" s="8">
        <v>0.5252</v>
      </c>
      <c r="T6" s="8">
        <v>-0.52659</v>
      </c>
    </row>
    <row r="7" spans="1:20" x14ac:dyDescent="0.2">
      <c r="A7" s="19"/>
      <c r="B7" s="19"/>
      <c r="C7" t="s">
        <v>78</v>
      </c>
      <c r="D7" s="4">
        <v>12</v>
      </c>
      <c r="E7" s="4">
        <v>20</v>
      </c>
      <c r="F7" s="4">
        <v>35</v>
      </c>
      <c r="G7" s="4">
        <v>35</v>
      </c>
      <c r="H7" s="4">
        <v>0.3</v>
      </c>
      <c r="I7" s="4">
        <v>8</v>
      </c>
      <c r="J7" s="4">
        <v>24</v>
      </c>
      <c r="K7" s="4">
        <v>12.6</v>
      </c>
      <c r="L7" s="4">
        <v>1.575</v>
      </c>
      <c r="M7" s="4">
        <v>0.43</v>
      </c>
      <c r="N7" s="15">
        <v>1</v>
      </c>
      <c r="O7" s="15">
        <v>-1</v>
      </c>
      <c r="P7" s="15" t="s">
        <v>73</v>
      </c>
      <c r="Q7" s="17">
        <v>-1.5896E-6</v>
      </c>
      <c r="R7" s="12">
        <v>0.74826999999999999</v>
      </c>
      <c r="S7" s="12">
        <v>0.73168999999999995</v>
      </c>
      <c r="T7" s="12">
        <v>-0.72753999999999996</v>
      </c>
    </row>
    <row r="8" spans="1:20" x14ac:dyDescent="0.2">
      <c r="A8" s="19"/>
      <c r="B8" s="19"/>
      <c r="C8" t="s">
        <v>79</v>
      </c>
      <c r="D8" s="4">
        <v>12</v>
      </c>
      <c r="E8" s="4">
        <v>20</v>
      </c>
      <c r="F8" s="4">
        <v>35</v>
      </c>
      <c r="G8" s="4">
        <v>35</v>
      </c>
      <c r="H8" s="4">
        <v>0.3</v>
      </c>
      <c r="I8" s="4">
        <v>8</v>
      </c>
      <c r="J8" s="4">
        <v>32</v>
      </c>
      <c r="K8" s="4">
        <v>12.6</v>
      </c>
      <c r="L8" s="4">
        <v>1.575</v>
      </c>
      <c r="M8" s="4">
        <v>0.43</v>
      </c>
      <c r="N8" s="15">
        <v>1</v>
      </c>
      <c r="O8" s="15">
        <v>-1</v>
      </c>
      <c r="P8" s="15" t="s">
        <v>73</v>
      </c>
      <c r="Q8" s="17">
        <v>-2.0857000000000002E-6</v>
      </c>
      <c r="R8" s="12">
        <v>0.76178000000000001</v>
      </c>
      <c r="S8" s="12">
        <v>0.88707000000000003</v>
      </c>
      <c r="T8" s="12">
        <v>-0.87785000000000002</v>
      </c>
    </row>
    <row r="9" spans="1:20" x14ac:dyDescent="0.2">
      <c r="A9" s="19"/>
      <c r="B9" s="19"/>
      <c r="C9" t="s">
        <v>80</v>
      </c>
      <c r="D9" s="4">
        <v>12</v>
      </c>
      <c r="E9" s="4">
        <v>20</v>
      </c>
      <c r="F9" s="4">
        <v>35</v>
      </c>
      <c r="G9" s="4">
        <v>35</v>
      </c>
      <c r="H9" s="4">
        <v>0.3</v>
      </c>
      <c r="I9" s="4">
        <v>8</v>
      </c>
      <c r="J9" s="4">
        <v>40</v>
      </c>
      <c r="K9" s="4">
        <v>12.6</v>
      </c>
      <c r="L9" s="4">
        <v>1.575</v>
      </c>
      <c r="M9" s="4">
        <v>0.43</v>
      </c>
      <c r="N9" s="15">
        <v>1</v>
      </c>
      <c r="O9" s="15">
        <v>-1</v>
      </c>
      <c r="P9" s="15" t="s">
        <v>73</v>
      </c>
      <c r="Q9" s="17">
        <v>-2.6015E-6</v>
      </c>
      <c r="R9" s="12">
        <v>0.77015999999999996</v>
      </c>
      <c r="S9" s="12">
        <v>0.93398000000000003</v>
      </c>
      <c r="T9" s="12">
        <v>-0.94527000000000005</v>
      </c>
    </row>
    <row r="10" spans="1:20" x14ac:dyDescent="0.2">
      <c r="A10" s="19"/>
      <c r="B10" s="19"/>
      <c r="C10" t="s">
        <v>81</v>
      </c>
      <c r="D10" s="4">
        <v>12</v>
      </c>
      <c r="E10" s="4">
        <v>20</v>
      </c>
      <c r="F10" s="4">
        <v>35</v>
      </c>
      <c r="G10" s="4">
        <v>35</v>
      </c>
      <c r="H10" s="4">
        <v>0.2</v>
      </c>
      <c r="I10" s="4">
        <v>12</v>
      </c>
      <c r="J10" s="4">
        <v>40</v>
      </c>
      <c r="K10" s="4">
        <v>12.4</v>
      </c>
      <c r="L10" s="4">
        <v>1.0329999999999999</v>
      </c>
      <c r="M10" s="4">
        <v>0.28599999999999998</v>
      </c>
      <c r="N10" s="15">
        <v>1</v>
      </c>
      <c r="O10" s="15">
        <v>-1</v>
      </c>
      <c r="P10" s="15" t="s">
        <v>73</v>
      </c>
      <c r="Q10" s="18">
        <v>-8.2142999999999996E-7</v>
      </c>
      <c r="R10" s="8">
        <v>0.78942999999999997</v>
      </c>
      <c r="S10" s="8">
        <v>1.3744000000000001</v>
      </c>
      <c r="T10" s="8">
        <v>-1.3627</v>
      </c>
    </row>
  </sheetData>
  <mergeCells count="2">
    <mergeCell ref="A2:A10"/>
    <mergeCell ref="B2:B10"/>
  </mergeCell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383AF2438CA6E4D95121B0655EFBEF6" ma:contentTypeVersion="13" ma:contentTypeDescription="Create a new document." ma:contentTypeScope="" ma:versionID="eee865fdd508d373f7142707fea1dee8">
  <xsd:schema xmlns:xsd="http://www.w3.org/2001/XMLSchema" xmlns:xs="http://www.w3.org/2001/XMLSchema" xmlns:p="http://schemas.microsoft.com/office/2006/metadata/properties" xmlns:ns2="810d1b9a-db1b-49da-b1bd-80cc7309c7f5" xmlns:ns3="d3e395dc-8d30-4b3b-8a9d-61103af9ea80" targetNamespace="http://schemas.microsoft.com/office/2006/metadata/properties" ma:root="true" ma:fieldsID="61081b605f91b7d11b66272c6f30489a" ns2:_="" ns3:_="">
    <xsd:import namespace="810d1b9a-db1b-49da-b1bd-80cc7309c7f5"/>
    <xsd:import namespace="d3e395dc-8d30-4b3b-8a9d-61103af9ea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0d1b9a-db1b-49da-b1bd-80cc7309c7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3f7c956-802a-45ac-b2ba-cc78506785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e395dc-8d30-4b3b-8a9d-61103af9ea80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acc279e-ceef-414b-b331-cadbf63a17bf}" ma:internalName="TaxCatchAll" ma:showField="CatchAllData" ma:web="d3e395dc-8d30-4b3b-8a9d-61103af9ea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10d1b9a-db1b-49da-b1bd-80cc7309c7f5">
      <Terms xmlns="http://schemas.microsoft.com/office/infopath/2007/PartnerControls"/>
    </lcf76f155ced4ddcb4097134ff3c332f>
    <TaxCatchAll xmlns="d3e395dc-8d30-4b3b-8a9d-61103af9ea8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94C31DC-A0DD-497C-BD4E-7C92032F8CA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10d1b9a-db1b-49da-b1bd-80cc7309c7f5"/>
    <ds:schemaRef ds:uri="d3e395dc-8d30-4b3b-8a9d-61103af9ea8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16D2C93-94A4-4D7A-B1B5-238D39532E7F}">
  <ds:schemaRefs>
    <ds:schemaRef ds:uri="http://schemas.microsoft.com/office/2006/metadata/properties"/>
    <ds:schemaRef ds:uri="http://schemas.microsoft.com/office/infopath/2007/PartnerControls"/>
    <ds:schemaRef ds:uri="810d1b9a-db1b-49da-b1bd-80cc7309c7f5"/>
    <ds:schemaRef ds:uri="d3e395dc-8d30-4b3b-8a9d-61103af9ea80"/>
  </ds:schemaRefs>
</ds:datastoreItem>
</file>

<file path=customXml/itemProps3.xml><?xml version="1.0" encoding="utf-8"?>
<ds:datastoreItem xmlns:ds="http://schemas.openxmlformats.org/officeDocument/2006/customXml" ds:itemID="{223DE37B-7A80-4C84-9F67-BCF76D47DCC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Jay Kim</cp:lastModifiedBy>
  <cp:revision/>
  <dcterms:created xsi:type="dcterms:W3CDTF">2025-11-19T17:22:43Z</dcterms:created>
  <dcterms:modified xsi:type="dcterms:W3CDTF">2026-01-21T17:58:36Z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0x0101004383AF2438CA6E4D95121B0655EFBEF6</vt:lpwstr>
  </property>
  <property fmtid="{D5CDD505-2E9C-101B-9397-08002B2CF9AE}" pid="3" name="MediaServiceImageTags">
    <vt:lpwstr/>
  </property>
</Properties>
</file>